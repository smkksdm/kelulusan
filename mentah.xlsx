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AT KELULUSAN\2026\"/>
    </mc:Choice>
  </mc:AlternateContent>
  <xr:revisionPtr revIDLastSave="0" documentId="13_ncr:1_{D9430A88-3198-4A6F-BFBC-5F1899710D84}" xr6:coauthVersionLast="47" xr6:coauthVersionMax="47" xr10:uidLastSave="{00000000-0000-0000-0000-000000000000}"/>
  <bookViews>
    <workbookView xWindow="-120" yWindow="-120" windowWidth="20730" windowHeight="11040" xr2:uid="{B85D4796-E9CF-4134-A973-3360BC462C49}"/>
  </bookViews>
  <sheets>
    <sheet name="Sheet1" sheetId="1" r:id="rId1"/>
    <sheet name="Sheet3" sheetId="3" r:id="rId2"/>
    <sheet name="Sheet4" sheetId="5" r:id="rId3"/>
  </sheets>
  <definedNames>
    <definedName name="_xlnm._FilterDatabase" localSheetId="1" hidden="1">Sheet3!$A$1:$Y$1</definedName>
    <definedName name="_xlnm._FilterDatabase" localSheetId="2" hidden="1">Sheet4!$A$2:$S$57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3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3" i="1"/>
</calcChain>
</file>

<file path=xl/sharedStrings.xml><?xml version="1.0" encoding="utf-8"?>
<sst xmlns="http://schemas.openxmlformats.org/spreadsheetml/2006/main" count="901" uniqueCount="552">
  <si>
    <t>No</t>
  </si>
  <si>
    <t>Nama Lengkap</t>
  </si>
  <si>
    <t>TTL</t>
  </si>
  <si>
    <t>NISN</t>
  </si>
  <si>
    <t>Program Keahlian</t>
  </si>
  <si>
    <t>Kompetensi Keahlian</t>
  </si>
  <si>
    <t>Anggie Nur Aprilliani</t>
  </si>
  <si>
    <t>Aulia Raudhatul Jannah</t>
  </si>
  <si>
    <t>Bunga Apriliani</t>
  </si>
  <si>
    <t>Citra Aprilliani</t>
  </si>
  <si>
    <t>Dera Try Monica</t>
  </si>
  <si>
    <t>Dewi Anggraeni</t>
  </si>
  <si>
    <t>Dina Rahmawati</t>
  </si>
  <si>
    <t>Erna Herliana</t>
  </si>
  <si>
    <t>Fera Lusyana Safara</t>
  </si>
  <si>
    <t>Hernita Fauziah</t>
  </si>
  <si>
    <t>Imel Ade Diana</t>
  </si>
  <si>
    <t>Leni Handayani</t>
  </si>
  <si>
    <t>Maudi Efriani</t>
  </si>
  <si>
    <t>Muetia Kalisya Siti Yanuar</t>
  </si>
  <si>
    <t>Muna Sari</t>
  </si>
  <si>
    <t>Munti Rani</t>
  </si>
  <si>
    <t>Nabila Nur Fadillah</t>
  </si>
  <si>
    <t>Nalyka Katresna Gumelar</t>
  </si>
  <si>
    <t>Nita Nuryani</t>
  </si>
  <si>
    <t>Rasya Oktaviani Fauziah</t>
  </si>
  <si>
    <t>Revi Susilawati</t>
  </si>
  <si>
    <t>Sekarnagsih Laelaksana</t>
  </si>
  <si>
    <t>Sheila Aulia</t>
  </si>
  <si>
    <t>Silvia Andriani</t>
  </si>
  <si>
    <t>Sri Purwanti</t>
  </si>
  <si>
    <t>Suli Riasa Lestari</t>
  </si>
  <si>
    <t>Widia Aristia Haryati</t>
  </si>
  <si>
    <t>Zahra Fadillah Arrohman</t>
  </si>
  <si>
    <t>04 April 2007</t>
  </si>
  <si>
    <t>06 Januari 2007</t>
  </si>
  <si>
    <t>10 April 2007</t>
  </si>
  <si>
    <t>07 Juli 2007</t>
  </si>
  <si>
    <t>04 Agustus 2006</t>
  </si>
  <si>
    <t>22 Mei 2006</t>
  </si>
  <si>
    <t>07 Desember 2005</t>
  </si>
  <si>
    <t>15 November 2007</t>
  </si>
  <si>
    <t>20 Agustus 2006</t>
  </si>
  <si>
    <t>01 Januari 2007</t>
  </si>
  <si>
    <t>23 November 2006</t>
  </si>
  <si>
    <t>09 April 2007</t>
  </si>
  <si>
    <t>05 Mei 2007</t>
  </si>
  <si>
    <t>03 Januari 2007</t>
  </si>
  <si>
    <t>15 Desember 2006</t>
  </si>
  <si>
    <t>16 Maret 2007</t>
  </si>
  <si>
    <t>23 April 2007</t>
  </si>
  <si>
    <t>28 Oktober 2006</t>
  </si>
  <si>
    <t>18 Maret 2007</t>
  </si>
  <si>
    <t>11 Oktober 2006</t>
  </si>
  <si>
    <t>13 Agustus 2007</t>
  </si>
  <si>
    <t>05 Desember 2007</t>
  </si>
  <si>
    <t>22 November 2007</t>
  </si>
  <si>
    <t>16 Februari 2007</t>
  </si>
  <si>
    <t>14 Juli 2007</t>
  </si>
  <si>
    <t>10 Januari 2007</t>
  </si>
  <si>
    <t>0076540375</t>
  </si>
  <si>
    <t>0074879033</t>
  </si>
  <si>
    <t>0077024229</t>
  </si>
  <si>
    <t>0078934962</t>
  </si>
  <si>
    <t>0069052823</t>
  </si>
  <si>
    <t>0066857126</t>
  </si>
  <si>
    <t>0058168511</t>
  </si>
  <si>
    <t>0077800514</t>
  </si>
  <si>
    <t>0064310071</t>
  </si>
  <si>
    <t>0076739497</t>
  </si>
  <si>
    <t>0061662683</t>
  </si>
  <si>
    <t>0078671623</t>
  </si>
  <si>
    <t>0075337064</t>
  </si>
  <si>
    <t>0074107943</t>
  </si>
  <si>
    <t>0071521362</t>
  </si>
  <si>
    <t>0065496273</t>
  </si>
  <si>
    <t>0078080695</t>
  </si>
  <si>
    <t>0076145737</t>
  </si>
  <si>
    <t>0063018239</t>
  </si>
  <si>
    <t>0073939414</t>
  </si>
  <si>
    <t>0065288618</t>
  </si>
  <si>
    <t>0076254632</t>
  </si>
  <si>
    <t>0075346958</t>
  </si>
  <si>
    <t>0074207273</t>
  </si>
  <si>
    <t>0072766679</t>
  </si>
  <si>
    <t>0077071690</t>
  </si>
  <si>
    <t>0079397886</t>
  </si>
  <si>
    <t>Keperawatan</t>
  </si>
  <si>
    <t>Asisten Keperawatan</t>
  </si>
  <si>
    <t>Afifah Susilawati</t>
  </si>
  <si>
    <t>Ajeng Siti Nuriyanti</t>
  </si>
  <si>
    <t>Arif Pratama</t>
  </si>
  <si>
    <t>Echa Septiani</t>
  </si>
  <si>
    <t>Hani Septiani Wijaya</t>
  </si>
  <si>
    <t>Karina Anur Asyu Rawati</t>
  </si>
  <si>
    <t>Muhammad Ghifari Rizkiana</t>
  </si>
  <si>
    <t>Naeli Rahmawati</t>
  </si>
  <si>
    <t>Nazri Khairul Azhar</t>
  </si>
  <si>
    <t>Pingkan Raisha Pasha</t>
  </si>
  <si>
    <t>Salsabila Az-Zahra</t>
  </si>
  <si>
    <t>Salsabilla Nur Fadilah</t>
  </si>
  <si>
    <t>Salwa Hilmiyah</t>
  </si>
  <si>
    <t>Siska Siti Ardilah</t>
  </si>
  <si>
    <t>Syafa Febrianti</t>
  </si>
  <si>
    <t>Varida Aulia Marlina</t>
  </si>
  <si>
    <t>Sondang Gloria Putri Gultom</t>
  </si>
  <si>
    <t>17 Maret 2007</t>
  </si>
  <si>
    <t>25 Mei 2006</t>
  </si>
  <si>
    <t>21 April 2007</t>
  </si>
  <si>
    <t>25 Mei 2007</t>
  </si>
  <si>
    <t>04 September 2007</t>
  </si>
  <si>
    <t>19 September 2006</t>
  </si>
  <si>
    <t>11 Februari 2007</t>
  </si>
  <si>
    <t>13 Juni 2006</t>
  </si>
  <si>
    <t>25 Januari 2007</t>
  </si>
  <si>
    <t>29 Oktober 2006</t>
  </si>
  <si>
    <t>16 Juni 2006</t>
  </si>
  <si>
    <t>03 Agustus 2007</t>
  </si>
  <si>
    <t>28 Juni 2006</t>
  </si>
  <si>
    <t>17 Agustus 2006</t>
  </si>
  <si>
    <t>07 Januari 2006</t>
  </si>
  <si>
    <t>24 Februari 2007</t>
  </si>
  <si>
    <t>16 September 2006</t>
  </si>
  <si>
    <t>02 Februari 2007</t>
  </si>
  <si>
    <t>0074150857</t>
  </si>
  <si>
    <t>0063026560</t>
  </si>
  <si>
    <t>0073817408</t>
  </si>
  <si>
    <t>0072533381</t>
  </si>
  <si>
    <t>0077842594</t>
  </si>
  <si>
    <t>0074415808</t>
  </si>
  <si>
    <t>0071155617</t>
  </si>
  <si>
    <t>0138035669</t>
  </si>
  <si>
    <t>0072995640</t>
  </si>
  <si>
    <t>0066204269</t>
  </si>
  <si>
    <t>0077089782</t>
  </si>
  <si>
    <t>0072383462</t>
  </si>
  <si>
    <t>0061457942</t>
  </si>
  <si>
    <t>0068851041</t>
  </si>
  <si>
    <t>0061451743</t>
  </si>
  <si>
    <t>0078891807</t>
  </si>
  <si>
    <t>0078297419</t>
  </si>
  <si>
    <t>0064646450</t>
  </si>
  <si>
    <t>0079801635</t>
  </si>
  <si>
    <t>Farmasi</t>
  </si>
  <si>
    <t>Farmasi Klinis dan Komunitas</t>
  </si>
  <si>
    <t>Addini Nur Arifin</t>
  </si>
  <si>
    <t>Cantika Dwi Astri Jumiardi</t>
  </si>
  <si>
    <t>Rismanti</t>
  </si>
  <si>
    <t>Rivalina</t>
  </si>
  <si>
    <t>01 Juni 2008</t>
  </si>
  <si>
    <t>12 Juni 2006</t>
  </si>
  <si>
    <t>25 Desember 2006</t>
  </si>
  <si>
    <t>01 Mei 2006</t>
  </si>
  <si>
    <t>0085811652</t>
  </si>
  <si>
    <t>0068849781</t>
  </si>
  <si>
    <t>0061163641</t>
  </si>
  <si>
    <t>0061845279</t>
  </si>
  <si>
    <t>Teknologi Laboratorium Medik</t>
  </si>
  <si>
    <t>Ai Tisa</t>
  </si>
  <si>
    <t>Melisa</t>
  </si>
  <si>
    <t>Shella Sonia</t>
  </si>
  <si>
    <t>Sri Lestari</t>
  </si>
  <si>
    <t>09 September 2005</t>
  </si>
  <si>
    <t>17 Desember 2006</t>
  </si>
  <si>
    <t>06 September 2005</t>
  </si>
  <si>
    <t>08 April 2006</t>
  </si>
  <si>
    <t>0053558091</t>
  </si>
  <si>
    <t>0066289736</t>
  </si>
  <si>
    <t>0066194777</t>
  </si>
  <si>
    <t>0061320252</t>
  </si>
  <si>
    <t>Tata Kecantikan Kulit dan Rambut</t>
  </si>
  <si>
    <t>Bahan SKL</t>
  </si>
  <si>
    <t>Dini Meilani</t>
  </si>
  <si>
    <t>NIPD</t>
  </si>
  <si>
    <t>2223.1.0635</t>
  </si>
  <si>
    <t>2223.1.0636</t>
  </si>
  <si>
    <t>2223.1.0637</t>
  </si>
  <si>
    <t>2223.1.0638</t>
  </si>
  <si>
    <t>2223.1.0639</t>
  </si>
  <si>
    <t>2223.1.0640</t>
  </si>
  <si>
    <t>2223.1.0641</t>
  </si>
  <si>
    <t>2223.1.0642</t>
  </si>
  <si>
    <t>2223.1.0643</t>
  </si>
  <si>
    <t>2223.1.0693</t>
  </si>
  <si>
    <t>2223.1.0644</t>
  </si>
  <si>
    <t>2223.1.0645</t>
  </si>
  <si>
    <t>2223.1.0647</t>
  </si>
  <si>
    <t>2223.1.0648</t>
  </si>
  <si>
    <t>2223.1.0649</t>
  </si>
  <si>
    <t>2223.1.0650</t>
  </si>
  <si>
    <t>2223.1.0651</t>
  </si>
  <si>
    <t>2223.1.0652</t>
  </si>
  <si>
    <t>2223.1.0653</t>
  </si>
  <si>
    <t>2223.1.0654</t>
  </si>
  <si>
    <t>2223.1.0655</t>
  </si>
  <si>
    <t>2223.1.0656</t>
  </si>
  <si>
    <t>2223.1.0657</t>
  </si>
  <si>
    <t>2223.1.0658</t>
  </si>
  <si>
    <t>2223.1.0659</t>
  </si>
  <si>
    <t>2223.1.0660</t>
  </si>
  <si>
    <t>2223.1.0661</t>
  </si>
  <si>
    <t>2223.1.0663</t>
  </si>
  <si>
    <t>2223.2.0664</t>
  </si>
  <si>
    <t>2223.2.0665</t>
  </si>
  <si>
    <t>2223.2.0666</t>
  </si>
  <si>
    <t>2223.2.0667</t>
  </si>
  <si>
    <t>2223.2.0668</t>
  </si>
  <si>
    <t>2223.2.0669</t>
  </si>
  <si>
    <t>2223.2.0670</t>
  </si>
  <si>
    <t>2223.2.0671</t>
  </si>
  <si>
    <t>2223.2.0672</t>
  </si>
  <si>
    <t>2223.2.0691</t>
  </si>
  <si>
    <t>2223.2.0673</t>
  </si>
  <si>
    <t>2223.2.0674</t>
  </si>
  <si>
    <t>2223.2.0675</t>
  </si>
  <si>
    <t>2223.2.0676</t>
  </si>
  <si>
    <t>2223.2.0677</t>
  </si>
  <si>
    <t>2223.2.0678</t>
  </si>
  <si>
    <t>2223.2.0679</t>
  </si>
  <si>
    <t>2223.2.0680</t>
  </si>
  <si>
    <t>2324.2.0694</t>
  </si>
  <si>
    <t>2223.3.0681</t>
  </si>
  <si>
    <t>2223.3.0682</t>
  </si>
  <si>
    <t>2223.3.0690</t>
  </si>
  <si>
    <t>2223.3.0683</t>
  </si>
  <si>
    <t>2223.4.0684</t>
  </si>
  <si>
    <t>2223.4.0685</t>
  </si>
  <si>
    <t>2223.4.0688</t>
  </si>
  <si>
    <t>2324.4.0744</t>
  </si>
  <si>
    <t>Nama Orang Tua</t>
  </si>
  <si>
    <t>PABP</t>
  </si>
  <si>
    <t>PKN</t>
  </si>
  <si>
    <t>B. INDO</t>
  </si>
  <si>
    <t>MTK</t>
  </si>
  <si>
    <t>SEJ. INDO</t>
  </si>
  <si>
    <t>B.ING</t>
  </si>
  <si>
    <t>SENBUD</t>
  </si>
  <si>
    <t>PJOK</t>
  </si>
  <si>
    <t>B. JPN</t>
  </si>
  <si>
    <t>SIMDIG</t>
  </si>
  <si>
    <t>BIOLOGI</t>
  </si>
  <si>
    <t>FISIKA</t>
  </si>
  <si>
    <t>KIMIA</t>
  </si>
  <si>
    <t>KK</t>
  </si>
  <si>
    <t>Rata-Rata</t>
  </si>
  <si>
    <t>Rank</t>
  </si>
  <si>
    <t>Olib</t>
  </si>
  <si>
    <t>Ade Awan Kurniawan</t>
  </si>
  <si>
    <t>Gun Gun Gunawan</t>
  </si>
  <si>
    <t>Toto Sugianto</t>
  </si>
  <si>
    <t>Dedi Suryadi</t>
  </si>
  <si>
    <t>Budi Kusnawan</t>
  </si>
  <si>
    <t>Didi Supriadi</t>
  </si>
  <si>
    <t>Idi</t>
  </si>
  <si>
    <t>Otong K</t>
  </si>
  <si>
    <t>Iman Suherman</t>
  </si>
  <si>
    <t>Ade Budiman</t>
  </si>
  <si>
    <t>Dadang</t>
  </si>
  <si>
    <t>Sutisna</t>
  </si>
  <si>
    <t>Tasman</t>
  </si>
  <si>
    <t>Nana Maulana</t>
  </si>
  <si>
    <t>Endang Komarudin</t>
  </si>
  <si>
    <t>Rahwan</t>
  </si>
  <si>
    <t>Juyana Kridi Laksana</t>
  </si>
  <si>
    <t>Saepul</t>
  </si>
  <si>
    <t>Udin Samsudin</t>
  </si>
  <si>
    <t>Dheris</t>
  </si>
  <si>
    <t>Winda Nur Azizah</t>
  </si>
  <si>
    <t>Wawan Tarwan</t>
  </si>
  <si>
    <t>Cucu Sujana</t>
  </si>
  <si>
    <t>Dedi Rohendi</t>
  </si>
  <si>
    <t>Dede</t>
  </si>
  <si>
    <t>Asep Wawan Permana</t>
  </si>
  <si>
    <t>Dadan</t>
  </si>
  <si>
    <t>Tahyudin</t>
  </si>
  <si>
    <t>Amin Tarmin</t>
  </si>
  <si>
    <t>Sutarja</t>
  </si>
  <si>
    <t>Zamzam Kamaludin</t>
  </si>
  <si>
    <t>Suhaendi</t>
  </si>
  <si>
    <t>Agus Warnita</t>
  </si>
  <si>
    <t>Dede Gunawan</t>
  </si>
  <si>
    <t>Aa Atang</t>
  </si>
  <si>
    <t>Uyat</t>
  </si>
  <si>
    <t>Saprudin</t>
  </si>
  <si>
    <t>Cahya Harta Ana</t>
  </si>
  <si>
    <t>Herman</t>
  </si>
  <si>
    <t>Philips Surya</t>
  </si>
  <si>
    <t>Amin Arifin</t>
  </si>
  <si>
    <t>Herna</t>
  </si>
  <si>
    <t>Ruhyat</t>
  </si>
  <si>
    <t>Ade Suyedi</t>
  </si>
  <si>
    <t>Sunarya Cece</t>
  </si>
  <si>
    <t>Adis</t>
  </si>
  <si>
    <t>Sony Hendra Sonjaya</t>
  </si>
  <si>
    <t>Roni</t>
  </si>
  <si>
    <t>Jaya</t>
  </si>
  <si>
    <t>Andri Gunawan</t>
  </si>
  <si>
    <t>Karnawan</t>
  </si>
  <si>
    <t>Ujang Rohman</t>
  </si>
  <si>
    <t xml:space="preserve">Jumiardi </t>
  </si>
  <si>
    <t>Saman</t>
  </si>
  <si>
    <t>Marshal Saldofa Santosa</t>
  </si>
  <si>
    <t>DK</t>
  </si>
  <si>
    <t>Tempat Lahir</t>
  </si>
  <si>
    <t>Sumedang</t>
  </si>
  <si>
    <t>Majalengka</t>
  </si>
  <si>
    <t>Ade Nayla Zahrotu Shita</t>
  </si>
  <si>
    <t>19 April 2008</t>
  </si>
  <si>
    <t>Ruhatma</t>
  </si>
  <si>
    <t>2324.1.0695</t>
  </si>
  <si>
    <t>0088140144</t>
  </si>
  <si>
    <t>Alicya Suci Cahyaningsih</t>
  </si>
  <si>
    <t>Jakarta</t>
  </si>
  <si>
    <t>16 April 2007</t>
  </si>
  <si>
    <t>Yoyon Caryono</t>
  </si>
  <si>
    <t>2324.1.0696</t>
  </si>
  <si>
    <t>0076037767</t>
  </si>
  <si>
    <t>Annya Syahniarti</t>
  </si>
  <si>
    <t>04 November 2007</t>
  </si>
  <si>
    <t>Heri Firmansyah</t>
  </si>
  <si>
    <t>2324.1.0697</t>
  </si>
  <si>
    <t>0073341710</t>
  </si>
  <si>
    <t>Bhidara</t>
  </si>
  <si>
    <t>08 Juli 2007</t>
  </si>
  <si>
    <t>Sudrajat</t>
  </si>
  <si>
    <t>2324.1.0698</t>
  </si>
  <si>
    <t>0072294987</t>
  </si>
  <si>
    <t>Dina Cahaya Ramadan</t>
  </si>
  <si>
    <t>27 September 2008</t>
  </si>
  <si>
    <t>2324.1.0699</t>
  </si>
  <si>
    <t>0083358221</t>
  </si>
  <si>
    <t>Dina Damayanti</t>
  </si>
  <si>
    <t>29 November 2007</t>
  </si>
  <si>
    <t>2324.1.0700</t>
  </si>
  <si>
    <t>0076884843</t>
  </si>
  <si>
    <t>Eliza Nurul Aulia</t>
  </si>
  <si>
    <t>26 November 2007</t>
  </si>
  <si>
    <t>2324.1.0701</t>
  </si>
  <si>
    <t>0073624080</t>
  </si>
  <si>
    <t>Fadla Siti Sahara</t>
  </si>
  <si>
    <t>15 September 2007</t>
  </si>
  <si>
    <t>Samsudin</t>
  </si>
  <si>
    <t>2324.1.0702</t>
  </si>
  <si>
    <t>0075495648</t>
  </si>
  <si>
    <t>Indri Nur Faridah</t>
  </si>
  <si>
    <t>2324.1.0727</t>
  </si>
  <si>
    <t>0073305911</t>
  </si>
  <si>
    <t>Jilan Rasya Fitriani</t>
  </si>
  <si>
    <t>02 Oktober 2007</t>
  </si>
  <si>
    <t>Erwin Rahadian</t>
  </si>
  <si>
    <t>2324.1.0703</t>
  </si>
  <si>
    <t>0076524143</t>
  </si>
  <si>
    <t>Keira Putri Affendy</t>
  </si>
  <si>
    <t>Batam</t>
  </si>
  <si>
    <t>06 Juni 2007</t>
  </si>
  <si>
    <t>Ivan Afendy</t>
  </si>
  <si>
    <t>2324.1.0704</t>
  </si>
  <si>
    <t>0071299679</t>
  </si>
  <si>
    <t>Keysha Putri Indriani</t>
  </si>
  <si>
    <t>17 Mei 2008</t>
  </si>
  <si>
    <t>2324.1.0705</t>
  </si>
  <si>
    <t>0085488267</t>
  </si>
  <si>
    <t>Melda Azhara Suciani</t>
  </si>
  <si>
    <t>01 Mei 2008</t>
  </si>
  <si>
    <t>Yusup Supriadi</t>
  </si>
  <si>
    <t>2324.1.0707</t>
  </si>
  <si>
    <t>0081451711</t>
  </si>
  <si>
    <t>Muhammad Rizky Ikhsan Fadillah</t>
  </si>
  <si>
    <t>Cece Kelana</t>
  </si>
  <si>
    <t>2324.1.0706</t>
  </si>
  <si>
    <t>0076490472</t>
  </si>
  <si>
    <t>Mulani Asyadika Pitriyani</t>
  </si>
  <si>
    <t>19 Januari 2009</t>
  </si>
  <si>
    <t>Yayat Tata Hidayat</t>
  </si>
  <si>
    <t>2324.1.0708</t>
  </si>
  <si>
    <t>0081094278</t>
  </si>
  <si>
    <t>Nadya Rahma Agustin</t>
  </si>
  <si>
    <t>20 Agustus 2007</t>
  </si>
  <si>
    <t>Deni Hermawan</t>
  </si>
  <si>
    <t>2324.1.0709</t>
  </si>
  <si>
    <t>0075103048</t>
  </si>
  <si>
    <t>Naila Ayu Nurzahra</t>
  </si>
  <si>
    <t>08 Agustus 2008</t>
  </si>
  <si>
    <t>Ahmad Saepudin</t>
  </si>
  <si>
    <t>2324.1.0710</t>
  </si>
  <si>
    <t>0084465929</t>
  </si>
  <si>
    <t>Natasya Aurella Apriliani</t>
  </si>
  <si>
    <t>06 April 2008</t>
  </si>
  <si>
    <t>2324.1.0711</t>
  </si>
  <si>
    <t>0084659553</t>
  </si>
  <si>
    <t>Rachel Amanda Putri</t>
  </si>
  <si>
    <t>06 Februari 2008</t>
  </si>
  <si>
    <t>2324.1.0712</t>
  </si>
  <si>
    <t>0081728944</t>
  </si>
  <si>
    <t>Resva Palhi Ramdiani</t>
  </si>
  <si>
    <t>07 September 2007</t>
  </si>
  <si>
    <t>Cucu Suherlan</t>
  </si>
  <si>
    <t>2324.1.0713</t>
  </si>
  <si>
    <t>0071340430</t>
  </si>
  <si>
    <t>Riri Haerani</t>
  </si>
  <si>
    <t>08 September 2008</t>
  </si>
  <si>
    <t>Yogi Safaat</t>
  </si>
  <si>
    <t>2324.1.0714</t>
  </si>
  <si>
    <t>0085632740</t>
  </si>
  <si>
    <t>Sabrina Haqqoni</t>
  </si>
  <si>
    <t>Pekanbaru</t>
  </si>
  <si>
    <t>30 Desember 2007</t>
  </si>
  <si>
    <t>2324.1.0716</t>
  </si>
  <si>
    <t>0079517290</t>
  </si>
  <si>
    <t>Setiawan Rizky</t>
  </si>
  <si>
    <t>07 Februari 2008</t>
  </si>
  <si>
    <t>Ade Surya</t>
  </si>
  <si>
    <t>2324.1.0717</t>
  </si>
  <si>
    <t>0085206078</t>
  </si>
  <si>
    <t>Suci Halfi Hasanah</t>
  </si>
  <si>
    <t>07 Oktober 2007</t>
  </si>
  <si>
    <t>Uca</t>
  </si>
  <si>
    <t>2324.1.0718</t>
  </si>
  <si>
    <t>0076350648</t>
  </si>
  <si>
    <t>Syifa Yuliya Azahra</t>
  </si>
  <si>
    <t>21 Juli 2007</t>
  </si>
  <si>
    <t>Saepul Ambari</t>
  </si>
  <si>
    <t>2324.1.0719</t>
  </si>
  <si>
    <t>0073713478</t>
  </si>
  <si>
    <t>Tasya Syabila</t>
  </si>
  <si>
    <t>29 September 2008</t>
  </si>
  <si>
    <t>Karta</t>
  </si>
  <si>
    <t>2324.1.0720</t>
  </si>
  <si>
    <t>0083702379</t>
  </si>
  <si>
    <t>Tyara Nur Auliya Rahma</t>
  </si>
  <si>
    <t>15 Juni 2008</t>
  </si>
  <si>
    <t>2324.1.0721</t>
  </si>
  <si>
    <t>0081311452</t>
  </si>
  <si>
    <t>Valinna Amelya Eko Putri</t>
  </si>
  <si>
    <t>Cilegon</t>
  </si>
  <si>
    <t>30 Juni 2008</t>
  </si>
  <si>
    <t>Eko Hamidin</t>
  </si>
  <si>
    <t>2324.1.0722</t>
  </si>
  <si>
    <t>0083029735</t>
  </si>
  <si>
    <t>Yesa Lutvia</t>
  </si>
  <si>
    <t>2324.1.0746</t>
  </si>
  <si>
    <t>0063175889</t>
  </si>
  <si>
    <t>Devi Anti Amanda Putri</t>
  </si>
  <si>
    <t>24 Desember 2007</t>
  </si>
  <si>
    <t>Rahman Budiman</t>
  </si>
  <si>
    <t>2324.2.0723</t>
  </si>
  <si>
    <t>0076048505</t>
  </si>
  <si>
    <t>Febri Sekar Ayu Herdianti</t>
  </si>
  <si>
    <t>03 Februari 2008</t>
  </si>
  <si>
    <t>M. Heri Supriyadi</t>
  </si>
  <si>
    <t>2324.2.0724</t>
  </si>
  <si>
    <t>0081737737</t>
  </si>
  <si>
    <t>Fitri Febriyanti</t>
  </si>
  <si>
    <t>21 Februari 2008</t>
  </si>
  <si>
    <t>Enang</t>
  </si>
  <si>
    <t>2324.2.0725</t>
  </si>
  <si>
    <t>0082052381</t>
  </si>
  <si>
    <t>Fuja Nur Oktaviani Dwiraja</t>
  </si>
  <si>
    <t>29 Oktober 2007</t>
  </si>
  <si>
    <t>Nandang Tarjana</t>
  </si>
  <si>
    <t>2324.2.0726</t>
  </si>
  <si>
    <t>0072813592</t>
  </si>
  <si>
    <t>Kayla Kenya Kafka Nafiska Arifin</t>
  </si>
  <si>
    <t>04 Maret 2009</t>
  </si>
  <si>
    <t>Muhamad Syarif Arifin</t>
  </si>
  <si>
    <t>2324.2.0728</t>
  </si>
  <si>
    <t>0099319914</t>
  </si>
  <si>
    <t>Neng Maylaffayza Dwi Guzarot</t>
  </si>
  <si>
    <t>17 Mei 2007</t>
  </si>
  <si>
    <t>Ruhyatna</t>
  </si>
  <si>
    <t>2324.2.0729</t>
  </si>
  <si>
    <t>0079061949</t>
  </si>
  <si>
    <t>Neng Sely</t>
  </si>
  <si>
    <t>18 Agustus 2008</t>
  </si>
  <si>
    <t>Atep Suhendar</t>
  </si>
  <si>
    <t>2324.2.0730</t>
  </si>
  <si>
    <t>0087910328</t>
  </si>
  <si>
    <t>Nurul Isya</t>
  </si>
  <si>
    <t>28 Februari 2008</t>
  </si>
  <si>
    <t>Tatang Sunarya</t>
  </si>
  <si>
    <t>2324.2.0731</t>
  </si>
  <si>
    <t>0082838840</t>
  </si>
  <si>
    <t>Riska Nanda Rosita</t>
  </si>
  <si>
    <t>05 November 2007</t>
  </si>
  <si>
    <t>Nono Darsono</t>
  </si>
  <si>
    <t>2324.2.0732</t>
  </si>
  <si>
    <t>0077030873</t>
  </si>
  <si>
    <t>Sabrina Mutmainah</t>
  </si>
  <si>
    <t>12 Januari 2008</t>
  </si>
  <si>
    <t>Ajat Darojat</t>
  </si>
  <si>
    <t>2324.2.0733</t>
  </si>
  <si>
    <t>0082468078</t>
  </si>
  <si>
    <t>Sinta Sari Maulani</t>
  </si>
  <si>
    <t>17 Februari 2008</t>
  </si>
  <si>
    <t>Solosari Jaenudin</t>
  </si>
  <si>
    <t>2324.2.0734</t>
  </si>
  <si>
    <t>0082820167</t>
  </si>
  <si>
    <t>Wendy Agisty</t>
  </si>
  <si>
    <t>09 Agustus 2007</t>
  </si>
  <si>
    <t>Katma</t>
  </si>
  <si>
    <t>2324.2.0735</t>
  </si>
  <si>
    <t>0071738798</t>
  </si>
  <si>
    <t>Dea Cantika Angwar</t>
  </si>
  <si>
    <t>26 Oktober 2008</t>
  </si>
  <si>
    <t>2324.3.0736</t>
  </si>
  <si>
    <t>0087875831</t>
  </si>
  <si>
    <t>Rexy Febiansyah</t>
  </si>
  <si>
    <t>02 Februari 2008</t>
  </si>
  <si>
    <t>Oman</t>
  </si>
  <si>
    <t>2324.3.0737</t>
  </si>
  <si>
    <t>0081572595</t>
  </si>
  <si>
    <t>Rizal Sukmana</t>
  </si>
  <si>
    <t>2324.3.0715</t>
  </si>
  <si>
    <t>0078514332</t>
  </si>
  <si>
    <t>Sofia Nurbila Pasha</t>
  </si>
  <si>
    <t>23 September 2007</t>
  </si>
  <si>
    <t>2324.3.0738</t>
  </si>
  <si>
    <t>0078910979</t>
  </si>
  <si>
    <t>Chelsea Pratiwi</t>
  </si>
  <si>
    <t>Bogor</t>
  </si>
  <si>
    <t>15 Januari 2008</t>
  </si>
  <si>
    <t>2324.4.0739</t>
  </si>
  <si>
    <t>0086927095</t>
  </si>
  <si>
    <t>Fina Nuraeni</t>
  </si>
  <si>
    <t>10 Juli 2008</t>
  </si>
  <si>
    <t>2324.4.0745</t>
  </si>
  <si>
    <t>0089313321</t>
  </si>
  <si>
    <t>Klara Wulan Maycellani</t>
  </si>
  <si>
    <t>12 Mei 2007</t>
  </si>
  <si>
    <t>Kusnanjar</t>
  </si>
  <si>
    <t>2324.4.0741</t>
  </si>
  <si>
    <t>0074058778</t>
  </si>
  <si>
    <t>Opik Hermawan</t>
  </si>
  <si>
    <t>2324.4.0743</t>
  </si>
  <si>
    <t>0081196151</t>
  </si>
  <si>
    <t>FISIKA/IPAS</t>
  </si>
  <si>
    <t>BIOLOGI/PARIWISATA</t>
  </si>
  <si>
    <t>Jaja</t>
  </si>
  <si>
    <t>Tatang</t>
  </si>
  <si>
    <t>Entis Sutisna</t>
  </si>
  <si>
    <t/>
  </si>
  <si>
    <t>Andri Anwar Sanusi</t>
  </si>
  <si>
    <t>Supena</t>
  </si>
  <si>
    <t>Depi Arisandi</t>
  </si>
  <si>
    <t>Dody</t>
  </si>
  <si>
    <t>Usep Sulaeman</t>
  </si>
  <si>
    <t>Ujang Rohendi</t>
  </si>
  <si>
    <t>Angwarudin</t>
  </si>
  <si>
    <t>Engkus</t>
  </si>
  <si>
    <t>Toto Suherman</t>
  </si>
  <si>
    <t>Maman Isman</t>
  </si>
  <si>
    <t>Atep Sobar Suparman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</si>
</sst>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m\ yyyy"/>
    <numFmt numFmtId="165" formatCode="[$-421]dd\ mmmm\ yyyy;@"/>
  </numFmts>
  <fonts count="7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2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vertical="center"/>
    </xf>
    <xf numFmtId="0" fontId="0" fillId="9" borderId="2" xfId="0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11" borderId="2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0" fillId="11" borderId="1" xfId="0" applyFill="1" applyBorder="1" applyAlignment="1">
      <alignment vertical="top" wrapText="1"/>
    </xf>
    <xf numFmtId="0" fontId="1" fillId="2" borderId="1" xfId="1" applyFill="1" applyBorder="1"/>
    <xf numFmtId="0" fontId="0" fillId="11" borderId="3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left"/>
    </xf>
    <xf numFmtId="0" fontId="2" fillId="11" borderId="1" xfId="0" applyFont="1" applyFill="1" applyBorder="1" applyAlignment="1">
      <alignment vertical="top" wrapText="1"/>
    </xf>
    <xf numFmtId="0" fontId="0" fillId="4" borderId="5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top" wrapText="1"/>
    </xf>
    <xf numFmtId="0" fontId="1" fillId="4" borderId="5" xfId="0" applyFont="1" applyFill="1" applyBorder="1" applyAlignment="1">
      <alignment vertical="center" wrapText="1"/>
    </xf>
    <xf numFmtId="0" fontId="0" fillId="7" borderId="5" xfId="0" applyFill="1" applyBorder="1" applyAlignment="1">
      <alignment vertical="top" wrapText="1"/>
    </xf>
    <xf numFmtId="0" fontId="1" fillId="6" borderId="0" xfId="1" applyFill="1"/>
    <xf numFmtId="0" fontId="0" fillId="7" borderId="2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top" wrapText="1"/>
    </xf>
    <xf numFmtId="0" fontId="1" fillId="8" borderId="1" xfId="1" applyFill="1" applyBorder="1"/>
    <xf numFmtId="0" fontId="0" fillId="9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center"/>
    </xf>
    <xf numFmtId="0" fontId="0" fillId="12" borderId="5" xfId="0" applyFill="1" applyBorder="1" applyAlignment="1">
      <alignment vertical="top" wrapText="1"/>
    </xf>
    <xf numFmtId="0" fontId="0" fillId="12" borderId="1" xfId="0" applyFill="1" applyBorder="1" applyAlignment="1">
      <alignment vertical="center"/>
    </xf>
    <xf numFmtId="165" fontId="6" fillId="12" borderId="1" xfId="2" applyNumberFormat="1" applyFont="1" applyFill="1" applyBorder="1" applyAlignment="1">
      <alignment horizontal="left" vertical="center"/>
    </xf>
    <xf numFmtId="0" fontId="0" fillId="13" borderId="3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/>
    </xf>
    <xf numFmtId="0" fontId="0" fillId="12" borderId="0" xfId="0" applyFill="1"/>
  </cellXfs>
  <cellStyles count="3">
    <cellStyle name="Normal" xfId="0" builtinId="0"/>
    <cellStyle name="Normal 2" xfId="1" xr:uid="{FF8CFF6D-9B2B-4410-9737-7D9CC365A030}"/>
    <cellStyle name="Normal 4" xfId="2" xr:uid="{54B61860-A9FB-4FC0-9D3A-E51569B9A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29D6-A2DE-4FDF-8B11-084A3DC26952}">
  <dimension ref="A1:AA58"/>
  <sheetViews>
    <sheetView tabSelected="1" workbookViewId="0">
      <pane xSplit="2" ySplit="2" topLeftCell="R43" activePane="bottomRight" state="frozen"/>
      <selection pane="topRight" activeCell="C1" sqref="C1"/>
      <selection pane="bottomLeft" activeCell="A3" sqref="A3"/>
      <selection pane="bottomRight" activeCell="V2" sqref="V2"/>
    </sheetView>
  </sheetViews>
  <sheetFormatPr defaultRowHeight="15" x14ac:dyDescent="0.25"/>
  <cols>
    <col min="1" max="1" width="4.5703125" customWidth="1"/>
    <col min="2" max="2" width="39.42578125" customWidth="1"/>
    <col min="3" max="3" width="15.42578125" customWidth="1"/>
    <col min="4" max="4" width="27.5703125" customWidth="1"/>
    <col min="5" max="5" width="27.5703125" style="2" customWidth="1"/>
    <col min="6" max="7" width="14.5703125" style="1" customWidth="1"/>
    <col min="8" max="8" width="32.42578125" customWidth="1"/>
    <col min="9" max="9" width="31.140625" customWidth="1"/>
    <col min="10" max="10" width="9.140625" style="1"/>
    <col min="12" max="12" width="9.5703125" bestFit="1" customWidth="1"/>
    <col min="18" max="18" width="9.5703125" bestFit="1" customWidth="1"/>
    <col min="20" max="20" width="9.5703125" bestFit="1" customWidth="1"/>
    <col min="22" max="22" width="9.5703125" bestFit="1" customWidth="1"/>
    <col min="23" max="23" width="9.140625" style="1"/>
    <col min="24" max="24" width="9.5703125" style="1" bestFit="1" customWidth="1"/>
    <col min="25" max="25" width="9.140625" style="1"/>
  </cols>
  <sheetData>
    <row r="1" spans="1:27" x14ac:dyDescent="0.25">
      <c r="B1" t="s">
        <v>171</v>
      </c>
    </row>
    <row r="2" spans="1:27" ht="17.100000000000001" customHeight="1" x14ac:dyDescent="0.25">
      <c r="A2" s="20" t="s">
        <v>0</v>
      </c>
      <c r="B2" s="20" t="s">
        <v>1</v>
      </c>
      <c r="C2" s="20" t="s">
        <v>303</v>
      </c>
      <c r="D2" s="20" t="s">
        <v>2</v>
      </c>
      <c r="E2" s="20" t="s">
        <v>229</v>
      </c>
      <c r="F2" s="20" t="s">
        <v>3</v>
      </c>
      <c r="G2" s="20" t="s">
        <v>173</v>
      </c>
      <c r="H2" s="20" t="s">
        <v>4</v>
      </c>
      <c r="I2" s="20" t="s">
        <v>5</v>
      </c>
      <c r="J2" s="20" t="s">
        <v>230</v>
      </c>
      <c r="K2" s="20" t="s">
        <v>231</v>
      </c>
      <c r="L2" s="20" t="s">
        <v>232</v>
      </c>
      <c r="M2" s="20" t="s">
        <v>233</v>
      </c>
      <c r="N2" s="20" t="s">
        <v>234</v>
      </c>
      <c r="O2" s="20" t="s">
        <v>235</v>
      </c>
      <c r="P2" s="20" t="s">
        <v>236</v>
      </c>
      <c r="Q2" s="20" t="s">
        <v>237</v>
      </c>
      <c r="R2" s="20" t="s">
        <v>238</v>
      </c>
      <c r="S2" s="20" t="s">
        <v>239</v>
      </c>
      <c r="T2" s="20" t="s">
        <v>535</v>
      </c>
      <c r="U2" s="20" t="s">
        <v>536</v>
      </c>
      <c r="V2" s="20" t="s">
        <v>242</v>
      </c>
      <c r="W2" s="20" t="s">
        <v>302</v>
      </c>
      <c r="X2" s="20" t="s">
        <v>243</v>
      </c>
      <c r="Y2" s="20" t="s">
        <v>244</v>
      </c>
      <c r="Z2" s="20" t="s">
        <v>245</v>
      </c>
    </row>
    <row r="3" spans="1:27" s="2" customFormat="1" ht="16.5" x14ac:dyDescent="0.25">
      <c r="A3" s="3">
        <v>1</v>
      </c>
      <c r="B3" s="39" t="s">
        <v>306</v>
      </c>
      <c r="C3" s="4" t="s">
        <v>304</v>
      </c>
      <c r="D3" s="4" t="s">
        <v>307</v>
      </c>
      <c r="E3" s="4" t="s">
        <v>308</v>
      </c>
      <c r="F3" s="55" t="s">
        <v>309</v>
      </c>
      <c r="G3" s="56" t="s">
        <v>310</v>
      </c>
      <c r="H3" s="40" t="s">
        <v>87</v>
      </c>
      <c r="I3" s="41" t="s">
        <v>88</v>
      </c>
      <c r="J3" s="5">
        <v>83.833333333333329</v>
      </c>
      <c r="K3" s="19">
        <v>83.5</v>
      </c>
      <c r="L3" s="5">
        <v>83.833333333333329</v>
      </c>
      <c r="M3" s="5">
        <v>79.166666666666671</v>
      </c>
      <c r="N3" s="5">
        <v>76</v>
      </c>
      <c r="O3" s="5">
        <v>78.166666666666671</v>
      </c>
      <c r="P3" s="5">
        <v>85</v>
      </c>
      <c r="Q3" s="5">
        <v>75.5</v>
      </c>
      <c r="R3" s="5">
        <v>80.5</v>
      </c>
      <c r="S3" s="5">
        <v>78.5</v>
      </c>
      <c r="T3" s="5">
        <v>84</v>
      </c>
      <c r="U3" s="5">
        <v>79</v>
      </c>
      <c r="V3" s="5">
        <v>81.5</v>
      </c>
      <c r="W3" s="5">
        <v>85.1</v>
      </c>
      <c r="X3" s="5">
        <v>86.0625</v>
      </c>
      <c r="Y3" s="5">
        <f>AVERAGE(J3:X3)</f>
        <v>81.310833333333321</v>
      </c>
      <c r="Z3" s="3">
        <f>RANK(Y3,$Y$3:$Y$51,0)</f>
        <v>14</v>
      </c>
      <c r="AA3" s="2" t="str">
        <f>PROPER(E3)</f>
        <v>Ruhatma</v>
      </c>
    </row>
    <row r="4" spans="1:27" s="2" customFormat="1" ht="16.5" x14ac:dyDescent="0.25">
      <c r="A4" s="3">
        <v>2</v>
      </c>
      <c r="B4" s="42" t="s">
        <v>311</v>
      </c>
      <c r="C4" s="4" t="s">
        <v>312</v>
      </c>
      <c r="D4" s="4" t="s">
        <v>313</v>
      </c>
      <c r="E4" s="4" t="s">
        <v>314</v>
      </c>
      <c r="F4" s="55" t="s">
        <v>315</v>
      </c>
      <c r="G4" s="56" t="s">
        <v>316</v>
      </c>
      <c r="H4" s="40" t="s">
        <v>87</v>
      </c>
      <c r="I4" s="41" t="s">
        <v>88</v>
      </c>
      <c r="J4" s="5">
        <v>78.5</v>
      </c>
      <c r="K4" s="19">
        <v>78.166666666666671</v>
      </c>
      <c r="L4" s="5">
        <v>79</v>
      </c>
      <c r="M4" s="5">
        <v>75.833333333333329</v>
      </c>
      <c r="N4" s="5">
        <v>76</v>
      </c>
      <c r="O4" s="5">
        <v>76.333333333333329</v>
      </c>
      <c r="P4" s="5">
        <v>82</v>
      </c>
      <c r="Q4" s="5">
        <v>74</v>
      </c>
      <c r="R4" s="5">
        <v>78.25</v>
      </c>
      <c r="S4" s="5">
        <v>74</v>
      </c>
      <c r="T4" s="5">
        <v>82.5</v>
      </c>
      <c r="U4" s="5">
        <v>71.5</v>
      </c>
      <c r="V4" s="5">
        <v>72.5</v>
      </c>
      <c r="W4" s="5">
        <v>77.099999999999994</v>
      </c>
      <c r="X4" s="5">
        <v>78.375</v>
      </c>
      <c r="Y4" s="5">
        <f t="shared" ref="Y4:Y51" si="0">AVERAGE(J4:X4)</f>
        <v>76.937222222222218</v>
      </c>
      <c r="Z4" s="3">
        <f t="shared" ref="Z4:Z51" si="1">RANK(Y4,$Y$3:$Y$51,0)</f>
        <v>46</v>
      </c>
      <c r="AA4" s="2" t="str">
        <f t="shared" ref="AA4:AA51" si="2">PROPER(E4)</f>
        <v>Yoyon Caryono</v>
      </c>
    </row>
    <row r="5" spans="1:27" s="2" customFormat="1" ht="16.5" x14ac:dyDescent="0.25">
      <c r="A5" s="3">
        <v>3</v>
      </c>
      <c r="B5" s="39" t="s">
        <v>317</v>
      </c>
      <c r="C5" s="4" t="s">
        <v>304</v>
      </c>
      <c r="D5" s="4" t="s">
        <v>318</v>
      </c>
      <c r="E5" s="4" t="s">
        <v>319</v>
      </c>
      <c r="F5" s="55" t="s">
        <v>320</v>
      </c>
      <c r="G5" s="56" t="s">
        <v>321</v>
      </c>
      <c r="H5" s="40" t="s">
        <v>87</v>
      </c>
      <c r="I5" s="41" t="s">
        <v>88</v>
      </c>
      <c r="J5" s="5">
        <v>81.333333333333329</v>
      </c>
      <c r="K5" s="19">
        <v>79.166666666666671</v>
      </c>
      <c r="L5" s="5">
        <v>80</v>
      </c>
      <c r="M5" s="5">
        <v>76.666666666666671</v>
      </c>
      <c r="N5" s="5">
        <v>77</v>
      </c>
      <c r="O5" s="5">
        <v>79.5</v>
      </c>
      <c r="P5" s="5">
        <v>84</v>
      </c>
      <c r="Q5" s="5">
        <v>75.75</v>
      </c>
      <c r="R5" s="5">
        <v>78.75</v>
      </c>
      <c r="S5" s="5">
        <v>79</v>
      </c>
      <c r="T5" s="5">
        <v>82.5</v>
      </c>
      <c r="U5" s="5">
        <v>75</v>
      </c>
      <c r="V5" s="5">
        <v>74</v>
      </c>
      <c r="W5" s="5">
        <v>79.3</v>
      </c>
      <c r="X5" s="5">
        <v>80.625</v>
      </c>
      <c r="Y5" s="5">
        <f t="shared" si="0"/>
        <v>78.839444444444453</v>
      </c>
      <c r="Z5" s="3">
        <f t="shared" si="1"/>
        <v>37</v>
      </c>
      <c r="AA5" s="2" t="str">
        <f t="shared" si="2"/>
        <v>Heri Firmansyah</v>
      </c>
    </row>
    <row r="6" spans="1:27" s="2" customFormat="1" ht="16.5" x14ac:dyDescent="0.25">
      <c r="A6" s="3">
        <v>4</v>
      </c>
      <c r="B6" s="42" t="s">
        <v>322</v>
      </c>
      <c r="C6" s="4" t="s">
        <v>304</v>
      </c>
      <c r="D6" s="4" t="s">
        <v>323</v>
      </c>
      <c r="E6" s="4" t="s">
        <v>324</v>
      </c>
      <c r="F6" s="55" t="s">
        <v>325</v>
      </c>
      <c r="G6" s="56" t="s">
        <v>326</v>
      </c>
      <c r="H6" s="40" t="s">
        <v>87</v>
      </c>
      <c r="I6" s="41" t="s">
        <v>88</v>
      </c>
      <c r="J6" s="5">
        <v>83.166666666666671</v>
      </c>
      <c r="K6" s="19">
        <v>79.833333333333329</v>
      </c>
      <c r="L6" s="5">
        <v>80.166666666666671</v>
      </c>
      <c r="M6" s="5">
        <v>82.333333333333329</v>
      </c>
      <c r="N6" s="5">
        <v>77</v>
      </c>
      <c r="O6" s="5">
        <v>79.833333333333329</v>
      </c>
      <c r="P6" s="5">
        <v>84.5</v>
      </c>
      <c r="Q6" s="5">
        <v>75</v>
      </c>
      <c r="R6" s="5">
        <v>79.5</v>
      </c>
      <c r="S6" s="5">
        <v>75</v>
      </c>
      <c r="T6" s="5">
        <v>85</v>
      </c>
      <c r="U6" s="5">
        <v>73.5</v>
      </c>
      <c r="V6" s="5">
        <v>74</v>
      </c>
      <c r="W6" s="5">
        <v>80.2</v>
      </c>
      <c r="X6" s="5">
        <v>82.125</v>
      </c>
      <c r="Y6" s="5">
        <f t="shared" si="0"/>
        <v>79.410555555555547</v>
      </c>
      <c r="Z6" s="3">
        <f t="shared" si="1"/>
        <v>32</v>
      </c>
      <c r="AA6" s="2" t="str">
        <f t="shared" si="2"/>
        <v>Sudrajat</v>
      </c>
    </row>
    <row r="7" spans="1:27" s="2" customFormat="1" ht="16.5" x14ac:dyDescent="0.25">
      <c r="A7" s="3">
        <v>5</v>
      </c>
      <c r="B7" s="39" t="s">
        <v>327</v>
      </c>
      <c r="C7" s="4" t="s">
        <v>304</v>
      </c>
      <c r="D7" s="4" t="s">
        <v>328</v>
      </c>
      <c r="E7" s="4" t="s">
        <v>537</v>
      </c>
      <c r="F7" s="55" t="s">
        <v>329</v>
      </c>
      <c r="G7" s="56" t="s">
        <v>330</v>
      </c>
      <c r="H7" s="40" t="s">
        <v>87</v>
      </c>
      <c r="I7" s="41" t="s">
        <v>88</v>
      </c>
      <c r="J7" s="5">
        <v>80.333333333333329</v>
      </c>
      <c r="K7" s="19">
        <v>79.333333333333329</v>
      </c>
      <c r="L7" s="5">
        <v>80.833333333333329</v>
      </c>
      <c r="M7" s="5">
        <v>80.833333333333329</v>
      </c>
      <c r="N7" s="5">
        <v>76</v>
      </c>
      <c r="O7" s="5">
        <v>78.833333333333329</v>
      </c>
      <c r="P7" s="5">
        <v>82</v>
      </c>
      <c r="Q7" s="5">
        <v>74.5</v>
      </c>
      <c r="R7" s="5">
        <v>79.25</v>
      </c>
      <c r="S7" s="5">
        <v>72.5</v>
      </c>
      <c r="T7" s="5">
        <v>83.5</v>
      </c>
      <c r="U7" s="5">
        <v>78.5</v>
      </c>
      <c r="V7" s="5">
        <v>75</v>
      </c>
      <c r="W7" s="5">
        <v>77.5</v>
      </c>
      <c r="X7" s="5">
        <v>79.25</v>
      </c>
      <c r="Y7" s="5">
        <f t="shared" si="0"/>
        <v>78.544444444444437</v>
      </c>
      <c r="Z7" s="3">
        <f t="shared" si="1"/>
        <v>40</v>
      </c>
      <c r="AA7" s="2" t="str">
        <f t="shared" si="2"/>
        <v>Jaja</v>
      </c>
    </row>
    <row r="8" spans="1:27" s="2" customFormat="1" ht="16.5" x14ac:dyDescent="0.25">
      <c r="A8" s="3">
        <v>6</v>
      </c>
      <c r="B8" s="39" t="s">
        <v>331</v>
      </c>
      <c r="C8" s="4" t="s">
        <v>304</v>
      </c>
      <c r="D8" s="4" t="s">
        <v>332</v>
      </c>
      <c r="E8" s="4" t="s">
        <v>538</v>
      </c>
      <c r="F8" s="55" t="s">
        <v>333</v>
      </c>
      <c r="G8" s="56" t="s">
        <v>334</v>
      </c>
      <c r="H8" s="40" t="s">
        <v>87</v>
      </c>
      <c r="I8" s="41" t="s">
        <v>88</v>
      </c>
      <c r="J8" s="5">
        <v>87.333333333333329</v>
      </c>
      <c r="K8" s="19">
        <v>87</v>
      </c>
      <c r="L8" s="5">
        <v>91.5</v>
      </c>
      <c r="M8" s="5">
        <v>84.333333333333329</v>
      </c>
      <c r="N8" s="5">
        <v>79.5</v>
      </c>
      <c r="O8" s="5">
        <v>90.666666666666671</v>
      </c>
      <c r="P8" s="5">
        <v>87</v>
      </c>
      <c r="Q8" s="5">
        <v>80</v>
      </c>
      <c r="R8" s="5">
        <v>89.5</v>
      </c>
      <c r="S8" s="5">
        <v>86</v>
      </c>
      <c r="T8" s="5">
        <v>84</v>
      </c>
      <c r="U8" s="5">
        <v>83</v>
      </c>
      <c r="V8" s="5">
        <v>87</v>
      </c>
      <c r="W8" s="5">
        <v>89.8</v>
      </c>
      <c r="X8" s="5">
        <v>91.3125</v>
      </c>
      <c r="Y8" s="5">
        <f t="shared" si="0"/>
        <v>86.529722222222219</v>
      </c>
      <c r="Z8" s="3">
        <f t="shared" si="1"/>
        <v>1</v>
      </c>
      <c r="AA8" s="2" t="str">
        <f t="shared" si="2"/>
        <v>Tatang</v>
      </c>
    </row>
    <row r="9" spans="1:27" s="2" customFormat="1" ht="16.5" x14ac:dyDescent="0.25">
      <c r="A9" s="3">
        <v>7</v>
      </c>
      <c r="B9" s="42" t="s">
        <v>335</v>
      </c>
      <c r="C9" s="4" t="s">
        <v>304</v>
      </c>
      <c r="D9" s="4" t="s">
        <v>336</v>
      </c>
      <c r="E9" s="4" t="s">
        <v>539</v>
      </c>
      <c r="F9" s="55" t="s">
        <v>337</v>
      </c>
      <c r="G9" s="56" t="s">
        <v>338</v>
      </c>
      <c r="H9" s="40" t="s">
        <v>87</v>
      </c>
      <c r="I9" s="41" t="s">
        <v>88</v>
      </c>
      <c r="J9" s="5">
        <v>83.333333333333329</v>
      </c>
      <c r="K9" s="19">
        <v>82.5</v>
      </c>
      <c r="L9" s="5">
        <v>83.5</v>
      </c>
      <c r="M9" s="5">
        <v>77</v>
      </c>
      <c r="N9" s="5">
        <v>76</v>
      </c>
      <c r="O9" s="5">
        <v>84.5</v>
      </c>
      <c r="P9" s="5">
        <v>83</v>
      </c>
      <c r="Q9" s="5">
        <v>74.5</v>
      </c>
      <c r="R9" s="5">
        <v>79.75</v>
      </c>
      <c r="S9" s="5">
        <v>75</v>
      </c>
      <c r="T9" s="5">
        <v>82</v>
      </c>
      <c r="U9" s="5">
        <v>74</v>
      </c>
      <c r="V9" s="5">
        <v>76.5</v>
      </c>
      <c r="W9" s="5">
        <v>80</v>
      </c>
      <c r="X9" s="5">
        <v>82.6875</v>
      </c>
      <c r="Y9" s="5">
        <f t="shared" si="0"/>
        <v>79.618055555555557</v>
      </c>
      <c r="Z9" s="3">
        <f t="shared" si="1"/>
        <v>29</v>
      </c>
      <c r="AA9" s="2" t="str">
        <f t="shared" si="2"/>
        <v>Entis Sutisna</v>
      </c>
    </row>
    <row r="10" spans="1:27" s="2" customFormat="1" ht="16.5" x14ac:dyDescent="0.25">
      <c r="A10" s="3">
        <v>8</v>
      </c>
      <c r="B10" s="39" t="s">
        <v>339</v>
      </c>
      <c r="C10" s="4" t="s">
        <v>312</v>
      </c>
      <c r="D10" s="4" t="s">
        <v>340</v>
      </c>
      <c r="E10" s="4" t="s">
        <v>341</v>
      </c>
      <c r="F10" s="55" t="s">
        <v>342</v>
      </c>
      <c r="G10" s="56" t="s">
        <v>343</v>
      </c>
      <c r="H10" s="40" t="s">
        <v>87</v>
      </c>
      <c r="I10" s="41" t="s">
        <v>88</v>
      </c>
      <c r="J10" s="5">
        <v>85.166666666666671</v>
      </c>
      <c r="K10" s="19">
        <v>84.833333333333329</v>
      </c>
      <c r="L10" s="5">
        <v>85.166666666666671</v>
      </c>
      <c r="M10" s="5">
        <v>84.833333333333329</v>
      </c>
      <c r="N10" s="5">
        <v>77</v>
      </c>
      <c r="O10" s="5">
        <v>82.666666666666671</v>
      </c>
      <c r="P10" s="5">
        <v>86</v>
      </c>
      <c r="Q10" s="5">
        <v>74.25</v>
      </c>
      <c r="R10" s="5">
        <v>86.5</v>
      </c>
      <c r="S10" s="5">
        <v>84</v>
      </c>
      <c r="T10" s="5">
        <v>84.5</v>
      </c>
      <c r="U10" s="5">
        <v>84</v>
      </c>
      <c r="V10" s="5">
        <v>87</v>
      </c>
      <c r="W10" s="5">
        <v>87.5</v>
      </c>
      <c r="X10" s="5">
        <v>89.0625</v>
      </c>
      <c r="Y10" s="5">
        <f t="shared" si="0"/>
        <v>84.165277777777789</v>
      </c>
      <c r="Z10" s="3">
        <f t="shared" si="1"/>
        <v>8</v>
      </c>
      <c r="AA10" s="2" t="str">
        <f t="shared" si="2"/>
        <v>Samsudin</v>
      </c>
    </row>
    <row r="11" spans="1:27" s="67" customFormat="1" ht="16.5" x14ac:dyDescent="0.25">
      <c r="A11" s="57">
        <v>9</v>
      </c>
      <c r="B11" s="58" t="s">
        <v>344</v>
      </c>
      <c r="C11" s="59"/>
      <c r="D11" s="60"/>
      <c r="E11" s="59" t="s">
        <v>540</v>
      </c>
      <c r="F11" s="61" t="s">
        <v>345</v>
      </c>
      <c r="G11" s="62" t="s">
        <v>346</v>
      </c>
      <c r="H11" s="63" t="s">
        <v>87</v>
      </c>
      <c r="I11" s="64" t="s">
        <v>88</v>
      </c>
      <c r="J11" s="65">
        <v>73.166666666666671</v>
      </c>
      <c r="K11" s="66">
        <v>70.666666666666671</v>
      </c>
      <c r="L11" s="65">
        <v>76</v>
      </c>
      <c r="M11" s="65">
        <v>71.5</v>
      </c>
      <c r="N11" s="65">
        <v>72.5</v>
      </c>
      <c r="O11" s="65">
        <v>62</v>
      </c>
      <c r="P11" s="65">
        <v>72.5</v>
      </c>
      <c r="Q11" s="65">
        <v>35</v>
      </c>
      <c r="R11" s="65">
        <v>56</v>
      </c>
      <c r="S11" s="65">
        <v>71.5</v>
      </c>
      <c r="T11" s="65">
        <v>77</v>
      </c>
      <c r="U11" s="65">
        <v>71.5</v>
      </c>
      <c r="V11" s="65">
        <v>70</v>
      </c>
      <c r="W11" s="65">
        <v>71.099999999999994</v>
      </c>
      <c r="X11" s="65">
        <v>50.3125</v>
      </c>
      <c r="Y11" s="5">
        <f t="shared" si="0"/>
        <v>66.716388888888886</v>
      </c>
      <c r="Z11" s="3">
        <f t="shared" si="1"/>
        <v>49</v>
      </c>
      <c r="AA11" s="67" t="str">
        <f t="shared" si="2"/>
        <v/>
      </c>
    </row>
    <row r="12" spans="1:27" s="2" customFormat="1" ht="16.5" x14ac:dyDescent="0.25">
      <c r="A12" s="3">
        <v>10</v>
      </c>
      <c r="B12" s="43" t="s">
        <v>347</v>
      </c>
      <c r="C12" s="4" t="s">
        <v>304</v>
      </c>
      <c r="D12" s="4" t="s">
        <v>348</v>
      </c>
      <c r="E12" s="4" t="s">
        <v>349</v>
      </c>
      <c r="F12" s="55" t="s">
        <v>350</v>
      </c>
      <c r="G12" s="56" t="s">
        <v>351</v>
      </c>
      <c r="H12" s="40" t="s">
        <v>87</v>
      </c>
      <c r="I12" s="41" t="s">
        <v>88</v>
      </c>
      <c r="J12" s="5">
        <v>82</v>
      </c>
      <c r="K12" s="19">
        <v>80.333333333333329</v>
      </c>
      <c r="L12" s="5">
        <v>82.166666666666671</v>
      </c>
      <c r="M12" s="5">
        <v>78.166666666666671</v>
      </c>
      <c r="N12" s="5">
        <v>75</v>
      </c>
      <c r="O12" s="5">
        <v>79.166666666666671</v>
      </c>
      <c r="P12" s="5">
        <v>83.5</v>
      </c>
      <c r="Q12" s="5">
        <v>74.5</v>
      </c>
      <c r="R12" s="5">
        <v>79.75</v>
      </c>
      <c r="S12" s="5">
        <v>73.5</v>
      </c>
      <c r="T12" s="5">
        <v>82.5</v>
      </c>
      <c r="U12" s="5">
        <v>78.5</v>
      </c>
      <c r="V12" s="5">
        <v>74</v>
      </c>
      <c r="W12" s="5">
        <v>80.2</v>
      </c>
      <c r="X12" s="5">
        <v>81.125</v>
      </c>
      <c r="Y12" s="5">
        <f t="shared" si="0"/>
        <v>78.960555555555558</v>
      </c>
      <c r="Z12" s="3">
        <f t="shared" si="1"/>
        <v>35</v>
      </c>
      <c r="AA12" s="2" t="str">
        <f t="shared" si="2"/>
        <v>Erwin Rahadian</v>
      </c>
    </row>
    <row r="13" spans="1:27" s="2" customFormat="1" ht="16.5" x14ac:dyDescent="0.25">
      <c r="A13" s="3">
        <v>11</v>
      </c>
      <c r="B13" s="39" t="s">
        <v>352</v>
      </c>
      <c r="C13" s="4" t="s">
        <v>353</v>
      </c>
      <c r="D13" s="4" t="s">
        <v>354</v>
      </c>
      <c r="E13" s="4" t="s">
        <v>355</v>
      </c>
      <c r="F13" s="55" t="s">
        <v>356</v>
      </c>
      <c r="G13" s="56" t="s">
        <v>357</v>
      </c>
      <c r="H13" s="40" t="s">
        <v>87</v>
      </c>
      <c r="I13" s="41" t="s">
        <v>88</v>
      </c>
      <c r="J13" s="5">
        <v>83</v>
      </c>
      <c r="K13" s="19">
        <v>83.5</v>
      </c>
      <c r="L13" s="5">
        <v>81.833333333333329</v>
      </c>
      <c r="M13" s="5">
        <v>78</v>
      </c>
      <c r="N13" s="5">
        <v>76</v>
      </c>
      <c r="O13" s="5">
        <v>88.166666666666671</v>
      </c>
      <c r="P13" s="5">
        <v>82</v>
      </c>
      <c r="Q13" s="5">
        <v>74</v>
      </c>
      <c r="R13" s="5">
        <v>80</v>
      </c>
      <c r="S13" s="5">
        <v>78</v>
      </c>
      <c r="T13" s="5">
        <v>83</v>
      </c>
      <c r="U13" s="5">
        <v>72</v>
      </c>
      <c r="V13" s="5">
        <v>75.5</v>
      </c>
      <c r="W13" s="5">
        <v>79.8</v>
      </c>
      <c r="X13" s="5">
        <v>81.5</v>
      </c>
      <c r="Y13" s="5">
        <f t="shared" si="0"/>
        <v>79.75333333333333</v>
      </c>
      <c r="Z13" s="3">
        <f t="shared" si="1"/>
        <v>26</v>
      </c>
      <c r="AA13" s="2" t="str">
        <f t="shared" si="2"/>
        <v>Ivan Afendy</v>
      </c>
    </row>
    <row r="14" spans="1:27" s="2" customFormat="1" ht="16.5" x14ac:dyDescent="0.25">
      <c r="A14" s="3">
        <v>12</v>
      </c>
      <c r="B14" s="42" t="s">
        <v>358</v>
      </c>
      <c r="C14" s="4" t="s">
        <v>304</v>
      </c>
      <c r="D14" s="4" t="s">
        <v>359</v>
      </c>
      <c r="E14" s="4" t="s">
        <v>541</v>
      </c>
      <c r="F14" s="55" t="s">
        <v>360</v>
      </c>
      <c r="G14" s="56" t="s">
        <v>361</v>
      </c>
      <c r="H14" s="40" t="s">
        <v>87</v>
      </c>
      <c r="I14" s="41" t="s">
        <v>88</v>
      </c>
      <c r="J14" s="5">
        <v>80.166666666666671</v>
      </c>
      <c r="K14" s="19">
        <v>79</v>
      </c>
      <c r="L14" s="5">
        <v>80</v>
      </c>
      <c r="M14" s="5">
        <v>77.333333333333329</v>
      </c>
      <c r="N14" s="5">
        <v>76</v>
      </c>
      <c r="O14" s="5">
        <v>78.166666666666671</v>
      </c>
      <c r="P14" s="5">
        <v>80.5</v>
      </c>
      <c r="Q14" s="5">
        <v>74.75</v>
      </c>
      <c r="R14" s="5">
        <v>78.75</v>
      </c>
      <c r="S14" s="5">
        <v>71</v>
      </c>
      <c r="T14" s="5">
        <v>83</v>
      </c>
      <c r="U14" s="5">
        <v>76</v>
      </c>
      <c r="V14" s="5">
        <v>72.5</v>
      </c>
      <c r="W14" s="5">
        <v>77.8</v>
      </c>
      <c r="X14" s="5">
        <v>80.625</v>
      </c>
      <c r="Y14" s="5">
        <f t="shared" si="0"/>
        <v>77.706111111111113</v>
      </c>
      <c r="Z14" s="3">
        <f t="shared" si="1"/>
        <v>45</v>
      </c>
      <c r="AA14" s="2" t="str">
        <f t="shared" si="2"/>
        <v>Andri Anwar Sanusi</v>
      </c>
    </row>
    <row r="15" spans="1:27" s="2" customFormat="1" ht="16.5" x14ac:dyDescent="0.25">
      <c r="A15" s="3">
        <v>13</v>
      </c>
      <c r="B15" s="39" t="s">
        <v>362</v>
      </c>
      <c r="C15" s="4" t="s">
        <v>305</v>
      </c>
      <c r="D15" s="4" t="s">
        <v>363</v>
      </c>
      <c r="E15" s="4" t="s">
        <v>364</v>
      </c>
      <c r="F15" s="55" t="s">
        <v>365</v>
      </c>
      <c r="G15" s="56" t="s">
        <v>366</v>
      </c>
      <c r="H15" s="40" t="s">
        <v>87</v>
      </c>
      <c r="I15" s="41" t="s">
        <v>88</v>
      </c>
      <c r="J15" s="5">
        <v>83.5</v>
      </c>
      <c r="K15" s="19">
        <v>83.666666666666671</v>
      </c>
      <c r="L15" s="5">
        <v>81.5</v>
      </c>
      <c r="M15" s="5">
        <v>78</v>
      </c>
      <c r="N15" s="5">
        <v>76</v>
      </c>
      <c r="O15" s="5">
        <v>77.666666666666671</v>
      </c>
      <c r="P15" s="5">
        <v>84</v>
      </c>
      <c r="Q15" s="5">
        <v>75</v>
      </c>
      <c r="R15" s="5">
        <v>80.25</v>
      </c>
      <c r="S15" s="5">
        <v>74</v>
      </c>
      <c r="T15" s="5">
        <v>83</v>
      </c>
      <c r="U15" s="5">
        <v>79.5</v>
      </c>
      <c r="V15" s="5">
        <v>74.5</v>
      </c>
      <c r="W15" s="5">
        <v>81.099999999999994</v>
      </c>
      <c r="X15" s="5">
        <v>82.6875</v>
      </c>
      <c r="Y15" s="5">
        <f t="shared" si="0"/>
        <v>79.624722222222232</v>
      </c>
      <c r="Z15" s="3">
        <f t="shared" si="1"/>
        <v>28</v>
      </c>
      <c r="AA15" s="2" t="str">
        <f t="shared" si="2"/>
        <v>Yusup Supriadi</v>
      </c>
    </row>
    <row r="16" spans="1:27" s="2" customFormat="1" ht="16.5" x14ac:dyDescent="0.25">
      <c r="A16" s="3">
        <v>14</v>
      </c>
      <c r="B16" s="42" t="s">
        <v>367</v>
      </c>
      <c r="C16" s="4" t="s">
        <v>304</v>
      </c>
      <c r="D16" s="4" t="s">
        <v>323</v>
      </c>
      <c r="E16" s="4" t="s">
        <v>368</v>
      </c>
      <c r="F16" s="55" t="s">
        <v>369</v>
      </c>
      <c r="G16" s="56" t="s">
        <v>370</v>
      </c>
      <c r="H16" s="40" t="s">
        <v>87</v>
      </c>
      <c r="I16" s="41" t="s">
        <v>88</v>
      </c>
      <c r="J16" s="5">
        <v>80.666666666666671</v>
      </c>
      <c r="K16" s="19">
        <v>79.5</v>
      </c>
      <c r="L16" s="5">
        <v>83.666666666666671</v>
      </c>
      <c r="M16" s="5">
        <v>78</v>
      </c>
      <c r="N16" s="5">
        <v>76</v>
      </c>
      <c r="O16" s="5">
        <v>78</v>
      </c>
      <c r="P16" s="5">
        <v>80.5</v>
      </c>
      <c r="Q16" s="5">
        <v>75.5</v>
      </c>
      <c r="R16" s="5">
        <v>79.75</v>
      </c>
      <c r="S16" s="5">
        <v>74</v>
      </c>
      <c r="T16" s="5">
        <v>81</v>
      </c>
      <c r="U16" s="5">
        <v>72</v>
      </c>
      <c r="V16" s="5">
        <v>75</v>
      </c>
      <c r="W16" s="5">
        <v>79.400000000000006</v>
      </c>
      <c r="X16" s="5">
        <v>81.1875</v>
      </c>
      <c r="Y16" s="5">
        <f t="shared" si="0"/>
        <v>78.278055555555554</v>
      </c>
      <c r="Z16" s="3">
        <f t="shared" si="1"/>
        <v>43</v>
      </c>
      <c r="AA16" s="2" t="str">
        <f t="shared" si="2"/>
        <v>Cece Kelana</v>
      </c>
    </row>
    <row r="17" spans="1:27" s="2" customFormat="1" ht="16.5" x14ac:dyDescent="0.25">
      <c r="A17" s="3">
        <v>15</v>
      </c>
      <c r="B17" s="39" t="s">
        <v>371</v>
      </c>
      <c r="C17" s="4" t="s">
        <v>304</v>
      </c>
      <c r="D17" s="4" t="s">
        <v>372</v>
      </c>
      <c r="E17" s="4" t="s">
        <v>373</v>
      </c>
      <c r="F17" s="55" t="s">
        <v>374</v>
      </c>
      <c r="G17" s="56" t="s">
        <v>375</v>
      </c>
      <c r="H17" s="40" t="s">
        <v>87</v>
      </c>
      <c r="I17" s="41" t="s">
        <v>88</v>
      </c>
      <c r="J17" s="5">
        <v>81.833333333333329</v>
      </c>
      <c r="K17" s="19">
        <v>79.166666666666671</v>
      </c>
      <c r="L17" s="5">
        <v>80.833333333333329</v>
      </c>
      <c r="M17" s="5">
        <v>76.166666666666671</v>
      </c>
      <c r="N17" s="5">
        <v>76</v>
      </c>
      <c r="O17" s="5">
        <v>78</v>
      </c>
      <c r="P17" s="5">
        <v>84</v>
      </c>
      <c r="Q17" s="5">
        <v>74.75</v>
      </c>
      <c r="R17" s="5">
        <v>80</v>
      </c>
      <c r="S17" s="5">
        <v>71.5</v>
      </c>
      <c r="T17" s="5">
        <v>82</v>
      </c>
      <c r="U17" s="5">
        <v>78</v>
      </c>
      <c r="V17" s="5">
        <v>74</v>
      </c>
      <c r="W17" s="5">
        <v>78.599999999999994</v>
      </c>
      <c r="X17" s="5">
        <v>82.1875</v>
      </c>
      <c r="Y17" s="5">
        <f t="shared" si="0"/>
        <v>78.469166666666666</v>
      </c>
      <c r="Z17" s="3">
        <f t="shared" si="1"/>
        <v>41</v>
      </c>
      <c r="AA17" s="2" t="str">
        <f t="shared" si="2"/>
        <v>Yayat Tata Hidayat</v>
      </c>
    </row>
    <row r="18" spans="1:27" s="2" customFormat="1" ht="16.5" x14ac:dyDescent="0.25">
      <c r="A18" s="3">
        <v>16</v>
      </c>
      <c r="B18" s="42" t="s">
        <v>376</v>
      </c>
      <c r="C18" s="4" t="s">
        <v>304</v>
      </c>
      <c r="D18" s="4" t="s">
        <v>377</v>
      </c>
      <c r="E18" s="4" t="s">
        <v>378</v>
      </c>
      <c r="F18" s="55" t="s">
        <v>379</v>
      </c>
      <c r="G18" s="56" t="s">
        <v>380</v>
      </c>
      <c r="H18" s="40" t="s">
        <v>87</v>
      </c>
      <c r="I18" s="41" t="s">
        <v>88</v>
      </c>
      <c r="J18" s="5">
        <v>83.166666666666671</v>
      </c>
      <c r="K18" s="19">
        <v>79.5</v>
      </c>
      <c r="L18" s="5">
        <v>80.666666666666671</v>
      </c>
      <c r="M18" s="5">
        <v>76.166666666666671</v>
      </c>
      <c r="N18" s="5">
        <v>77</v>
      </c>
      <c r="O18" s="5">
        <v>78</v>
      </c>
      <c r="P18" s="5">
        <v>83.5</v>
      </c>
      <c r="Q18" s="5">
        <v>76.75</v>
      </c>
      <c r="R18" s="5">
        <v>80.25</v>
      </c>
      <c r="S18" s="5">
        <v>75</v>
      </c>
      <c r="T18" s="5">
        <v>82.5</v>
      </c>
      <c r="U18" s="5">
        <v>75.5</v>
      </c>
      <c r="V18" s="5">
        <v>75</v>
      </c>
      <c r="W18" s="5">
        <v>79.8</v>
      </c>
      <c r="X18" s="5">
        <v>81.5</v>
      </c>
      <c r="Y18" s="5">
        <f t="shared" si="0"/>
        <v>78.953333333333333</v>
      </c>
      <c r="Z18" s="3">
        <f t="shared" si="1"/>
        <v>36</v>
      </c>
      <c r="AA18" s="2" t="str">
        <f t="shared" si="2"/>
        <v>Deni Hermawan</v>
      </c>
    </row>
    <row r="19" spans="1:27" s="2" customFormat="1" ht="16.5" x14ac:dyDescent="0.25">
      <c r="A19" s="3">
        <v>17</v>
      </c>
      <c r="B19" s="42" t="s">
        <v>381</v>
      </c>
      <c r="C19" s="4" t="s">
        <v>305</v>
      </c>
      <c r="D19" s="4" t="s">
        <v>382</v>
      </c>
      <c r="E19" s="4" t="s">
        <v>383</v>
      </c>
      <c r="F19" s="55" t="s">
        <v>384</v>
      </c>
      <c r="G19" s="56" t="s">
        <v>385</v>
      </c>
      <c r="H19" s="40" t="s">
        <v>87</v>
      </c>
      <c r="I19" s="41" t="s">
        <v>88</v>
      </c>
      <c r="J19" s="5">
        <v>87.666666666666671</v>
      </c>
      <c r="K19" s="19">
        <v>85.166666666666671</v>
      </c>
      <c r="L19" s="5">
        <v>87.166666666666671</v>
      </c>
      <c r="M19" s="5">
        <v>83</v>
      </c>
      <c r="N19" s="5">
        <v>75</v>
      </c>
      <c r="O19" s="5">
        <v>85.666666666666671</v>
      </c>
      <c r="P19" s="5">
        <v>85</v>
      </c>
      <c r="Q19" s="5">
        <v>75.75</v>
      </c>
      <c r="R19" s="5">
        <v>88.5</v>
      </c>
      <c r="S19" s="5">
        <v>79.5</v>
      </c>
      <c r="T19" s="5">
        <v>87</v>
      </c>
      <c r="U19" s="5">
        <v>86.5</v>
      </c>
      <c r="V19" s="5">
        <v>87</v>
      </c>
      <c r="W19" s="5">
        <v>89</v>
      </c>
      <c r="X19" s="5">
        <v>89.25</v>
      </c>
      <c r="Y19" s="5">
        <f t="shared" si="0"/>
        <v>84.744444444444454</v>
      </c>
      <c r="Z19" s="3">
        <f t="shared" si="1"/>
        <v>7</v>
      </c>
      <c r="AA19" s="2" t="str">
        <f t="shared" si="2"/>
        <v>Ahmad Saepudin</v>
      </c>
    </row>
    <row r="20" spans="1:27" s="2" customFormat="1" ht="16.5" x14ac:dyDescent="0.25">
      <c r="A20" s="3">
        <v>18</v>
      </c>
      <c r="B20" s="42" t="s">
        <v>386</v>
      </c>
      <c r="C20" s="4" t="s">
        <v>304</v>
      </c>
      <c r="D20" s="4" t="s">
        <v>387</v>
      </c>
      <c r="E20" s="4" t="s">
        <v>542</v>
      </c>
      <c r="F20" s="55" t="s">
        <v>388</v>
      </c>
      <c r="G20" s="56" t="s">
        <v>389</v>
      </c>
      <c r="H20" s="40" t="s">
        <v>87</v>
      </c>
      <c r="I20" s="41" t="s">
        <v>88</v>
      </c>
      <c r="J20" s="5">
        <v>82.833333333333329</v>
      </c>
      <c r="K20" s="19">
        <v>82.666666666666671</v>
      </c>
      <c r="L20" s="5">
        <v>85.5</v>
      </c>
      <c r="M20" s="5">
        <v>78.333333333333329</v>
      </c>
      <c r="N20" s="5">
        <v>74.5</v>
      </c>
      <c r="O20" s="5">
        <v>79.166666666666671</v>
      </c>
      <c r="P20" s="5">
        <v>85.5</v>
      </c>
      <c r="Q20" s="5">
        <v>75.25</v>
      </c>
      <c r="R20" s="5">
        <v>85.25</v>
      </c>
      <c r="S20" s="5">
        <v>82</v>
      </c>
      <c r="T20" s="5">
        <v>82</v>
      </c>
      <c r="U20" s="5">
        <v>80</v>
      </c>
      <c r="V20" s="5">
        <v>81.5</v>
      </c>
      <c r="W20" s="5">
        <v>85.6</v>
      </c>
      <c r="X20" s="5">
        <v>85.6875</v>
      </c>
      <c r="Y20" s="5">
        <f t="shared" si="0"/>
        <v>81.719166666666666</v>
      </c>
      <c r="Z20" s="3">
        <f t="shared" si="1"/>
        <v>12</v>
      </c>
      <c r="AA20" s="2" t="str">
        <f t="shared" si="2"/>
        <v>Supena</v>
      </c>
    </row>
    <row r="21" spans="1:27" s="2" customFormat="1" ht="16.5" x14ac:dyDescent="0.25">
      <c r="A21" s="3">
        <v>19</v>
      </c>
      <c r="B21" s="42" t="s">
        <v>390</v>
      </c>
      <c r="C21" s="4" t="s">
        <v>304</v>
      </c>
      <c r="D21" s="4" t="s">
        <v>391</v>
      </c>
      <c r="E21" s="4" t="s">
        <v>543</v>
      </c>
      <c r="F21" s="55" t="s">
        <v>392</v>
      </c>
      <c r="G21" s="56" t="s">
        <v>393</v>
      </c>
      <c r="H21" s="40" t="s">
        <v>87</v>
      </c>
      <c r="I21" s="41" t="s">
        <v>88</v>
      </c>
      <c r="J21" s="5">
        <v>85.5</v>
      </c>
      <c r="K21" s="19">
        <v>83.166666666666671</v>
      </c>
      <c r="L21" s="5">
        <v>82.666666666666671</v>
      </c>
      <c r="M21" s="5">
        <v>76.833333333333329</v>
      </c>
      <c r="N21" s="5">
        <v>77</v>
      </c>
      <c r="O21" s="5">
        <v>81.166666666666671</v>
      </c>
      <c r="P21" s="5">
        <v>85.5</v>
      </c>
      <c r="Q21" s="5">
        <v>76.25</v>
      </c>
      <c r="R21" s="5">
        <v>80</v>
      </c>
      <c r="S21" s="5">
        <v>81</v>
      </c>
      <c r="T21" s="5">
        <v>82</v>
      </c>
      <c r="U21" s="5">
        <v>74</v>
      </c>
      <c r="V21" s="5">
        <v>77</v>
      </c>
      <c r="W21" s="5">
        <v>85.1</v>
      </c>
      <c r="X21" s="5">
        <v>85.125</v>
      </c>
      <c r="Y21" s="5">
        <f t="shared" si="0"/>
        <v>80.820555555555558</v>
      </c>
      <c r="Z21" s="3">
        <f t="shared" si="1"/>
        <v>18</v>
      </c>
      <c r="AA21" s="2" t="str">
        <f t="shared" si="2"/>
        <v>Depi Arisandi</v>
      </c>
    </row>
    <row r="22" spans="1:27" s="2" customFormat="1" ht="16.5" x14ac:dyDescent="0.25">
      <c r="A22" s="3">
        <v>20</v>
      </c>
      <c r="B22" s="39" t="s">
        <v>394</v>
      </c>
      <c r="C22" s="4" t="s">
        <v>304</v>
      </c>
      <c r="D22" s="4" t="s">
        <v>395</v>
      </c>
      <c r="E22" s="4" t="s">
        <v>396</v>
      </c>
      <c r="F22" s="55" t="s">
        <v>397</v>
      </c>
      <c r="G22" s="56" t="s">
        <v>398</v>
      </c>
      <c r="H22" s="40" t="s">
        <v>87</v>
      </c>
      <c r="I22" s="41" t="s">
        <v>88</v>
      </c>
      <c r="J22" s="5">
        <v>88</v>
      </c>
      <c r="K22" s="19">
        <v>78.833333333333329</v>
      </c>
      <c r="L22" s="5">
        <v>82.666666666666671</v>
      </c>
      <c r="M22" s="5">
        <v>78.833333333333329</v>
      </c>
      <c r="N22" s="5">
        <v>78</v>
      </c>
      <c r="O22" s="5">
        <v>78.333333333333329</v>
      </c>
      <c r="P22" s="5">
        <v>84.5</v>
      </c>
      <c r="Q22" s="5">
        <v>74.75</v>
      </c>
      <c r="R22" s="5">
        <v>79.75</v>
      </c>
      <c r="S22" s="5">
        <v>73.5</v>
      </c>
      <c r="T22" s="5">
        <v>82.5</v>
      </c>
      <c r="U22" s="5">
        <v>72.5</v>
      </c>
      <c r="V22" s="5">
        <v>75.5</v>
      </c>
      <c r="W22" s="5">
        <v>81.3</v>
      </c>
      <c r="X22" s="5">
        <v>84.5625</v>
      </c>
      <c r="Y22" s="5">
        <f t="shared" si="0"/>
        <v>79.568611111111096</v>
      </c>
      <c r="Z22" s="3">
        <f t="shared" si="1"/>
        <v>30</v>
      </c>
      <c r="AA22" s="2" t="str">
        <f t="shared" si="2"/>
        <v>Cucu Suherlan</v>
      </c>
    </row>
    <row r="23" spans="1:27" s="2" customFormat="1" ht="16.5" x14ac:dyDescent="0.25">
      <c r="A23" s="3">
        <v>21</v>
      </c>
      <c r="B23" s="42" t="s">
        <v>399</v>
      </c>
      <c r="C23" s="4" t="s">
        <v>304</v>
      </c>
      <c r="D23" s="4" t="s">
        <v>400</v>
      </c>
      <c r="E23" s="4" t="s">
        <v>401</v>
      </c>
      <c r="F23" s="55" t="s">
        <v>402</v>
      </c>
      <c r="G23" s="56" t="s">
        <v>403</v>
      </c>
      <c r="H23" s="40" t="s">
        <v>87</v>
      </c>
      <c r="I23" s="41" t="s">
        <v>88</v>
      </c>
      <c r="J23" s="5">
        <v>82.5</v>
      </c>
      <c r="K23" s="19">
        <v>79.166666666666671</v>
      </c>
      <c r="L23" s="5">
        <v>80.5</v>
      </c>
      <c r="M23" s="5">
        <v>77.166666666666671</v>
      </c>
      <c r="N23" s="5">
        <v>76.5</v>
      </c>
      <c r="O23" s="5">
        <v>79</v>
      </c>
      <c r="P23" s="5">
        <v>84.5</v>
      </c>
      <c r="Q23" s="5">
        <v>75.25</v>
      </c>
      <c r="R23" s="5">
        <v>78.5</v>
      </c>
      <c r="S23" s="5">
        <v>72.5</v>
      </c>
      <c r="T23" s="5">
        <v>83</v>
      </c>
      <c r="U23" s="5">
        <v>78.5</v>
      </c>
      <c r="V23" s="5">
        <v>73</v>
      </c>
      <c r="W23" s="5">
        <v>78.900000000000006</v>
      </c>
      <c r="X23" s="5">
        <v>80.875</v>
      </c>
      <c r="Y23" s="5">
        <f t="shared" si="0"/>
        <v>78.657222222222217</v>
      </c>
      <c r="Z23" s="3">
        <f t="shared" si="1"/>
        <v>38</v>
      </c>
      <c r="AA23" s="2" t="str">
        <f t="shared" si="2"/>
        <v>Yogi Safaat</v>
      </c>
    </row>
    <row r="24" spans="1:27" s="2" customFormat="1" ht="16.5" x14ac:dyDescent="0.25">
      <c r="A24" s="3">
        <v>22</v>
      </c>
      <c r="B24" s="39" t="s">
        <v>404</v>
      </c>
      <c r="C24" s="4" t="s">
        <v>405</v>
      </c>
      <c r="D24" s="4" t="s">
        <v>406</v>
      </c>
      <c r="E24" s="4" t="s">
        <v>544</v>
      </c>
      <c r="F24" s="55" t="s">
        <v>407</v>
      </c>
      <c r="G24" s="56" t="s">
        <v>408</v>
      </c>
      <c r="H24" s="40" t="s">
        <v>87</v>
      </c>
      <c r="I24" s="41" t="s">
        <v>88</v>
      </c>
      <c r="J24" s="5">
        <v>80.833333333333329</v>
      </c>
      <c r="K24" s="19">
        <v>80.166666666666671</v>
      </c>
      <c r="L24" s="5">
        <v>80.833333333333329</v>
      </c>
      <c r="M24" s="5">
        <v>81.333333333333329</v>
      </c>
      <c r="N24" s="5">
        <v>76.5</v>
      </c>
      <c r="O24" s="5">
        <v>79.333333333333329</v>
      </c>
      <c r="P24" s="5">
        <v>80.5</v>
      </c>
      <c r="Q24" s="5">
        <v>74</v>
      </c>
      <c r="R24" s="5">
        <v>79.25</v>
      </c>
      <c r="S24" s="5">
        <v>71</v>
      </c>
      <c r="T24" s="5">
        <v>83</v>
      </c>
      <c r="U24" s="5">
        <v>77</v>
      </c>
      <c r="V24" s="5">
        <v>76</v>
      </c>
      <c r="W24" s="5">
        <v>79.2</v>
      </c>
      <c r="X24" s="5">
        <v>80.5625</v>
      </c>
      <c r="Y24" s="5">
        <f t="shared" si="0"/>
        <v>78.634166666666673</v>
      </c>
      <c r="Z24" s="3">
        <f t="shared" si="1"/>
        <v>39</v>
      </c>
      <c r="AA24" s="2" t="str">
        <f t="shared" si="2"/>
        <v>Dody</v>
      </c>
    </row>
    <row r="25" spans="1:27" s="2" customFormat="1" ht="16.5" x14ac:dyDescent="0.25">
      <c r="A25" s="3">
        <v>23</v>
      </c>
      <c r="B25" s="42" t="s">
        <v>409</v>
      </c>
      <c r="C25" s="4" t="s">
        <v>304</v>
      </c>
      <c r="D25" s="4" t="s">
        <v>410</v>
      </c>
      <c r="E25" s="4" t="s">
        <v>411</v>
      </c>
      <c r="F25" s="55" t="s">
        <v>412</v>
      </c>
      <c r="G25" s="56" t="s">
        <v>413</v>
      </c>
      <c r="H25" s="40" t="s">
        <v>87</v>
      </c>
      <c r="I25" s="41" t="s">
        <v>88</v>
      </c>
      <c r="J25" s="5">
        <v>83.166666666666671</v>
      </c>
      <c r="K25" s="19">
        <v>81.166666666666671</v>
      </c>
      <c r="L25" s="5">
        <v>82.666666666666671</v>
      </c>
      <c r="M25" s="5">
        <v>79.666666666666671</v>
      </c>
      <c r="N25" s="5">
        <v>77</v>
      </c>
      <c r="O25" s="5">
        <v>78.166666666666671</v>
      </c>
      <c r="P25" s="5">
        <v>81.5</v>
      </c>
      <c r="Q25" s="5">
        <v>78.5</v>
      </c>
      <c r="R25" s="5">
        <v>80.5</v>
      </c>
      <c r="S25" s="5">
        <v>74</v>
      </c>
      <c r="T25" s="5">
        <v>81.5</v>
      </c>
      <c r="U25" s="5">
        <v>78</v>
      </c>
      <c r="V25" s="5">
        <v>75.5</v>
      </c>
      <c r="W25" s="5">
        <v>79.099999999999994</v>
      </c>
      <c r="X25" s="5">
        <v>81.75</v>
      </c>
      <c r="Y25" s="5">
        <f t="shared" si="0"/>
        <v>79.478888888888889</v>
      </c>
      <c r="Z25" s="3">
        <f t="shared" si="1"/>
        <v>31</v>
      </c>
      <c r="AA25" s="2" t="str">
        <f t="shared" si="2"/>
        <v>Ade Surya</v>
      </c>
    </row>
    <row r="26" spans="1:27" s="2" customFormat="1" ht="16.5" x14ac:dyDescent="0.25">
      <c r="A26" s="3">
        <v>24</v>
      </c>
      <c r="B26" s="39" t="s">
        <v>414</v>
      </c>
      <c r="C26" s="4" t="s">
        <v>304</v>
      </c>
      <c r="D26" s="4" t="s">
        <v>415</v>
      </c>
      <c r="E26" s="4" t="s">
        <v>416</v>
      </c>
      <c r="F26" s="55" t="s">
        <v>417</v>
      </c>
      <c r="G26" s="56" t="s">
        <v>418</v>
      </c>
      <c r="H26" s="40" t="s">
        <v>87</v>
      </c>
      <c r="I26" s="41" t="s">
        <v>88</v>
      </c>
      <c r="J26" s="5">
        <v>82</v>
      </c>
      <c r="K26" s="19">
        <v>79.833333333333329</v>
      </c>
      <c r="L26" s="5">
        <v>82.666666666666671</v>
      </c>
      <c r="M26" s="5">
        <v>78.166666666666671</v>
      </c>
      <c r="N26" s="5">
        <v>76</v>
      </c>
      <c r="O26" s="5">
        <v>78</v>
      </c>
      <c r="P26" s="5">
        <v>83.5</v>
      </c>
      <c r="Q26" s="5">
        <v>74</v>
      </c>
      <c r="R26" s="5">
        <v>78.5</v>
      </c>
      <c r="S26" s="5">
        <v>78.5</v>
      </c>
      <c r="T26" s="5">
        <v>82</v>
      </c>
      <c r="U26" s="5">
        <v>78.5</v>
      </c>
      <c r="V26" s="5">
        <v>73</v>
      </c>
      <c r="W26" s="5">
        <v>79.8</v>
      </c>
      <c r="X26" s="5">
        <v>80.9375</v>
      </c>
      <c r="Y26" s="5">
        <f t="shared" si="0"/>
        <v>79.026944444444453</v>
      </c>
      <c r="Z26" s="3">
        <f t="shared" si="1"/>
        <v>34</v>
      </c>
      <c r="AA26" s="2" t="str">
        <f t="shared" si="2"/>
        <v>Uca</v>
      </c>
    </row>
    <row r="27" spans="1:27" s="2" customFormat="1" ht="16.5" x14ac:dyDescent="0.25">
      <c r="A27" s="3">
        <v>25</v>
      </c>
      <c r="B27" s="42" t="s">
        <v>419</v>
      </c>
      <c r="C27" s="4" t="s">
        <v>312</v>
      </c>
      <c r="D27" s="4" t="s">
        <v>420</v>
      </c>
      <c r="E27" s="4" t="s">
        <v>421</v>
      </c>
      <c r="F27" s="55" t="s">
        <v>422</v>
      </c>
      <c r="G27" s="56" t="s">
        <v>423</v>
      </c>
      <c r="H27" s="40" t="s">
        <v>87</v>
      </c>
      <c r="I27" s="41" t="s">
        <v>88</v>
      </c>
      <c r="J27" s="5">
        <v>84.166666666666671</v>
      </c>
      <c r="K27" s="19">
        <v>81.833333333333329</v>
      </c>
      <c r="L27" s="5">
        <v>81.333333333333329</v>
      </c>
      <c r="M27" s="5">
        <v>78.833333333333329</v>
      </c>
      <c r="N27" s="5">
        <v>77</v>
      </c>
      <c r="O27" s="5">
        <v>80.166666666666671</v>
      </c>
      <c r="P27" s="5">
        <v>85</v>
      </c>
      <c r="Q27" s="5">
        <v>76.75</v>
      </c>
      <c r="R27" s="5">
        <v>81.5</v>
      </c>
      <c r="S27" s="5">
        <v>75</v>
      </c>
      <c r="T27" s="5">
        <v>84</v>
      </c>
      <c r="U27" s="5">
        <v>80</v>
      </c>
      <c r="V27" s="5">
        <v>75</v>
      </c>
      <c r="W27" s="5">
        <v>81.099999999999994</v>
      </c>
      <c r="X27" s="5">
        <v>84.375</v>
      </c>
      <c r="Y27" s="5">
        <f t="shared" si="0"/>
        <v>80.403888888888872</v>
      </c>
      <c r="Z27" s="3">
        <f t="shared" si="1"/>
        <v>21</v>
      </c>
      <c r="AA27" s="2" t="str">
        <f t="shared" si="2"/>
        <v>Saepul Ambari</v>
      </c>
    </row>
    <row r="28" spans="1:27" s="2" customFormat="1" ht="16.5" x14ac:dyDescent="0.25">
      <c r="A28" s="3">
        <v>26</v>
      </c>
      <c r="B28" s="39" t="s">
        <v>424</v>
      </c>
      <c r="C28" s="4" t="s">
        <v>304</v>
      </c>
      <c r="D28" s="4" t="s">
        <v>425</v>
      </c>
      <c r="E28" s="4" t="s">
        <v>426</v>
      </c>
      <c r="F28" s="55" t="s">
        <v>427</v>
      </c>
      <c r="G28" s="56" t="s">
        <v>428</v>
      </c>
      <c r="H28" s="40" t="s">
        <v>87</v>
      </c>
      <c r="I28" s="41" t="s">
        <v>88</v>
      </c>
      <c r="J28" s="5">
        <v>80.666666666666671</v>
      </c>
      <c r="K28" s="19">
        <v>79.5</v>
      </c>
      <c r="L28" s="5">
        <v>80.5</v>
      </c>
      <c r="M28" s="5">
        <v>79</v>
      </c>
      <c r="N28" s="5">
        <v>76</v>
      </c>
      <c r="O28" s="5">
        <v>78.5</v>
      </c>
      <c r="P28" s="5">
        <v>81</v>
      </c>
      <c r="Q28" s="5">
        <v>73.5</v>
      </c>
      <c r="R28" s="5">
        <v>82.25</v>
      </c>
      <c r="S28" s="5">
        <v>71.5</v>
      </c>
      <c r="T28" s="5">
        <v>82</v>
      </c>
      <c r="U28" s="5">
        <v>71.5</v>
      </c>
      <c r="V28" s="5">
        <v>75</v>
      </c>
      <c r="W28" s="5">
        <v>77.5</v>
      </c>
      <c r="X28" s="5">
        <v>80.3125</v>
      </c>
      <c r="Y28" s="5">
        <f t="shared" si="0"/>
        <v>77.915277777777789</v>
      </c>
      <c r="Z28" s="3">
        <f t="shared" si="1"/>
        <v>44</v>
      </c>
      <c r="AA28" s="2" t="str">
        <f t="shared" si="2"/>
        <v>Karta</v>
      </c>
    </row>
    <row r="29" spans="1:27" s="2" customFormat="1" ht="16.5" x14ac:dyDescent="0.25">
      <c r="A29" s="3">
        <v>27</v>
      </c>
      <c r="B29" s="42" t="s">
        <v>429</v>
      </c>
      <c r="C29" s="4" t="s">
        <v>304</v>
      </c>
      <c r="D29" s="4" t="s">
        <v>430</v>
      </c>
      <c r="E29" s="4" t="s">
        <v>545</v>
      </c>
      <c r="F29" s="55" t="s">
        <v>431</v>
      </c>
      <c r="G29" s="56" t="s">
        <v>432</v>
      </c>
      <c r="H29" s="40" t="s">
        <v>87</v>
      </c>
      <c r="I29" s="41" t="s">
        <v>88</v>
      </c>
      <c r="J29" s="5">
        <v>88.333333333333329</v>
      </c>
      <c r="K29" s="19">
        <v>85.166666666666671</v>
      </c>
      <c r="L29" s="5">
        <v>87.166666666666671</v>
      </c>
      <c r="M29" s="5">
        <v>81.666666666666671</v>
      </c>
      <c r="N29" s="5">
        <v>78</v>
      </c>
      <c r="O29" s="5">
        <v>83.666666666666671</v>
      </c>
      <c r="P29" s="5">
        <v>86</v>
      </c>
      <c r="Q29" s="5">
        <v>76.25</v>
      </c>
      <c r="R29" s="5">
        <v>89</v>
      </c>
      <c r="S29" s="5">
        <v>80</v>
      </c>
      <c r="T29" s="5">
        <v>88</v>
      </c>
      <c r="U29" s="5">
        <v>84.5</v>
      </c>
      <c r="V29" s="5">
        <v>86.5</v>
      </c>
      <c r="W29" s="5">
        <v>88.9</v>
      </c>
      <c r="X29" s="5">
        <v>89.4375</v>
      </c>
      <c r="Y29" s="5">
        <f t="shared" si="0"/>
        <v>84.839166666666671</v>
      </c>
      <c r="Z29" s="3">
        <f t="shared" si="1"/>
        <v>6</v>
      </c>
      <c r="AA29" s="2" t="str">
        <f t="shared" si="2"/>
        <v>Usep Sulaeman</v>
      </c>
    </row>
    <row r="30" spans="1:27" s="2" customFormat="1" ht="16.5" x14ac:dyDescent="0.25">
      <c r="A30" s="3">
        <v>28</v>
      </c>
      <c r="B30" s="39" t="s">
        <v>433</v>
      </c>
      <c r="C30" s="4" t="s">
        <v>434</v>
      </c>
      <c r="D30" s="4" t="s">
        <v>435</v>
      </c>
      <c r="E30" s="4" t="s">
        <v>436</v>
      </c>
      <c r="F30" s="55" t="s">
        <v>437</v>
      </c>
      <c r="G30" s="56" t="s">
        <v>438</v>
      </c>
      <c r="H30" s="40" t="s">
        <v>87</v>
      </c>
      <c r="I30" s="41" t="s">
        <v>88</v>
      </c>
      <c r="J30" s="5">
        <v>84.166666666666671</v>
      </c>
      <c r="K30" s="19">
        <v>81.166666666666671</v>
      </c>
      <c r="L30" s="5">
        <v>81.333333333333329</v>
      </c>
      <c r="M30" s="5">
        <v>77.5</v>
      </c>
      <c r="N30" s="5">
        <v>78.5</v>
      </c>
      <c r="O30" s="5">
        <v>77.833333333333329</v>
      </c>
      <c r="P30" s="5">
        <v>84</v>
      </c>
      <c r="Q30" s="5">
        <v>76.25</v>
      </c>
      <c r="R30" s="5">
        <v>81</v>
      </c>
      <c r="S30" s="5">
        <v>82</v>
      </c>
      <c r="T30" s="5">
        <v>84.5</v>
      </c>
      <c r="U30" s="5">
        <v>73</v>
      </c>
      <c r="V30" s="5">
        <v>74</v>
      </c>
      <c r="W30" s="5">
        <v>78.599999999999994</v>
      </c>
      <c r="X30" s="5">
        <v>84.1875</v>
      </c>
      <c r="Y30" s="5">
        <f t="shared" si="0"/>
        <v>79.869166666666658</v>
      </c>
      <c r="Z30" s="3">
        <f t="shared" si="1"/>
        <v>25</v>
      </c>
      <c r="AA30" s="2" t="str">
        <f t="shared" si="2"/>
        <v>Eko Hamidin</v>
      </c>
    </row>
    <row r="31" spans="1:27" s="2" customFormat="1" ht="16.5" x14ac:dyDescent="0.25">
      <c r="A31" s="3">
        <v>29</v>
      </c>
      <c r="B31" s="42" t="s">
        <v>439</v>
      </c>
      <c r="C31" s="4" t="s">
        <v>304</v>
      </c>
      <c r="D31" s="4" t="s">
        <v>55</v>
      </c>
      <c r="E31" s="4" t="s">
        <v>546</v>
      </c>
      <c r="F31" s="55" t="s">
        <v>440</v>
      </c>
      <c r="G31" s="56" t="s">
        <v>441</v>
      </c>
      <c r="H31" s="40" t="s">
        <v>87</v>
      </c>
      <c r="I31" s="41" t="s">
        <v>88</v>
      </c>
      <c r="J31" s="5">
        <v>84</v>
      </c>
      <c r="K31" s="19">
        <v>80.666666666666671</v>
      </c>
      <c r="L31" s="5">
        <v>82.333333333333329</v>
      </c>
      <c r="M31" s="5">
        <v>78</v>
      </c>
      <c r="N31" s="5">
        <v>78.5</v>
      </c>
      <c r="O31" s="5">
        <v>80.833333333333329</v>
      </c>
      <c r="P31" s="5">
        <v>82.5</v>
      </c>
      <c r="Q31" s="5">
        <v>77.75</v>
      </c>
      <c r="R31" s="5">
        <v>85.75</v>
      </c>
      <c r="S31" s="5">
        <v>73.5</v>
      </c>
      <c r="T31" s="5">
        <v>82.5</v>
      </c>
      <c r="U31" s="5">
        <v>78.5</v>
      </c>
      <c r="V31" s="5">
        <v>81</v>
      </c>
      <c r="W31" s="5">
        <v>81.599999999999994</v>
      </c>
      <c r="X31" s="5">
        <v>83.9375</v>
      </c>
      <c r="Y31" s="5">
        <f t="shared" si="0"/>
        <v>80.758055555555543</v>
      </c>
      <c r="Z31" s="3">
        <f t="shared" si="1"/>
        <v>19</v>
      </c>
      <c r="AA31" s="2" t="str">
        <f t="shared" si="2"/>
        <v>Ujang Rohendi</v>
      </c>
    </row>
    <row r="32" spans="1:27" s="2" customFormat="1" ht="16.5" x14ac:dyDescent="0.25">
      <c r="A32" s="8">
        <v>30</v>
      </c>
      <c r="B32" s="44" t="s">
        <v>442</v>
      </c>
      <c r="C32" s="9" t="s">
        <v>304</v>
      </c>
      <c r="D32" s="9" t="s">
        <v>443</v>
      </c>
      <c r="E32" s="45" t="s">
        <v>444</v>
      </c>
      <c r="F32" s="46" t="s">
        <v>445</v>
      </c>
      <c r="G32" s="46" t="s">
        <v>446</v>
      </c>
      <c r="H32" s="47" t="s">
        <v>143</v>
      </c>
      <c r="I32" s="48" t="s">
        <v>144</v>
      </c>
      <c r="J32" s="10">
        <v>88</v>
      </c>
      <c r="K32" s="10">
        <v>83.666666666666671</v>
      </c>
      <c r="L32" s="10">
        <v>86.666666666666671</v>
      </c>
      <c r="M32" s="10">
        <v>84.833333333333329</v>
      </c>
      <c r="N32" s="11">
        <v>78</v>
      </c>
      <c r="O32" s="10">
        <v>83.5</v>
      </c>
      <c r="P32" s="10">
        <v>84</v>
      </c>
      <c r="Q32" s="10">
        <v>82.75</v>
      </c>
      <c r="R32" s="10">
        <v>89</v>
      </c>
      <c r="S32" s="10">
        <v>83.5</v>
      </c>
      <c r="T32" s="10">
        <v>86</v>
      </c>
      <c r="U32" s="10">
        <v>86.5</v>
      </c>
      <c r="V32" s="10">
        <v>91.5</v>
      </c>
      <c r="W32" s="10">
        <v>87.375</v>
      </c>
      <c r="X32" s="10">
        <v>88.708333333333329</v>
      </c>
      <c r="Y32" s="5">
        <f t="shared" si="0"/>
        <v>85.6</v>
      </c>
      <c r="Z32" s="3">
        <f t="shared" si="1"/>
        <v>4</v>
      </c>
      <c r="AA32" s="2" t="str">
        <f t="shared" si="2"/>
        <v>Rahman Budiman</v>
      </c>
    </row>
    <row r="33" spans="1:27" s="2" customFormat="1" ht="16.5" x14ac:dyDescent="0.25">
      <c r="A33" s="8">
        <v>31</v>
      </c>
      <c r="B33" s="44" t="s">
        <v>447</v>
      </c>
      <c r="C33" s="9" t="s">
        <v>304</v>
      </c>
      <c r="D33" s="9" t="s">
        <v>448</v>
      </c>
      <c r="E33" s="49" t="s">
        <v>449</v>
      </c>
      <c r="F33" s="46" t="s">
        <v>450</v>
      </c>
      <c r="G33" s="46" t="s">
        <v>451</v>
      </c>
      <c r="H33" s="47" t="s">
        <v>143</v>
      </c>
      <c r="I33" s="48" t="s">
        <v>144</v>
      </c>
      <c r="J33" s="10">
        <v>85.5</v>
      </c>
      <c r="K33" s="10">
        <v>81</v>
      </c>
      <c r="L33" s="10">
        <v>80.833333333333329</v>
      </c>
      <c r="M33" s="10">
        <v>81.333333333333329</v>
      </c>
      <c r="N33" s="11">
        <v>76.5</v>
      </c>
      <c r="O33" s="10">
        <v>80.833333333333329</v>
      </c>
      <c r="P33" s="10">
        <v>80.5</v>
      </c>
      <c r="Q33" s="10">
        <v>79.75</v>
      </c>
      <c r="R33" s="10">
        <v>83</v>
      </c>
      <c r="S33" s="10">
        <v>81</v>
      </c>
      <c r="T33" s="10">
        <v>87</v>
      </c>
      <c r="U33" s="10">
        <v>83</v>
      </c>
      <c r="V33" s="10">
        <v>83</v>
      </c>
      <c r="W33" s="10">
        <v>79.375</v>
      </c>
      <c r="X33" s="10">
        <v>82.958333333333329</v>
      </c>
      <c r="Y33" s="5">
        <f t="shared" si="0"/>
        <v>81.705555555555549</v>
      </c>
      <c r="Z33" s="3">
        <f t="shared" si="1"/>
        <v>13</v>
      </c>
      <c r="AA33" s="2" t="str">
        <f t="shared" si="2"/>
        <v>M. Heri Supriyadi</v>
      </c>
    </row>
    <row r="34" spans="1:27" s="2" customFormat="1" ht="16.5" x14ac:dyDescent="0.25">
      <c r="A34" s="8">
        <v>32</v>
      </c>
      <c r="B34" s="44" t="s">
        <v>452</v>
      </c>
      <c r="C34" s="9" t="s">
        <v>304</v>
      </c>
      <c r="D34" s="9" t="s">
        <v>453</v>
      </c>
      <c r="E34" s="49" t="s">
        <v>454</v>
      </c>
      <c r="F34" s="46" t="s">
        <v>455</v>
      </c>
      <c r="G34" s="46" t="s">
        <v>456</v>
      </c>
      <c r="H34" s="47" t="s">
        <v>143</v>
      </c>
      <c r="I34" s="48" t="s">
        <v>144</v>
      </c>
      <c r="J34" s="10">
        <v>84</v>
      </c>
      <c r="K34" s="10">
        <v>84.666666666666671</v>
      </c>
      <c r="L34" s="10">
        <v>85.5</v>
      </c>
      <c r="M34" s="10">
        <v>76.666666666666671</v>
      </c>
      <c r="N34" s="11">
        <v>75.5</v>
      </c>
      <c r="O34" s="10">
        <v>81.333333333333329</v>
      </c>
      <c r="P34" s="10">
        <v>83</v>
      </c>
      <c r="Q34" s="10">
        <v>78</v>
      </c>
      <c r="R34" s="10">
        <v>85.25</v>
      </c>
      <c r="S34" s="10">
        <v>85</v>
      </c>
      <c r="T34" s="10">
        <v>85</v>
      </c>
      <c r="U34" s="10">
        <v>86.5</v>
      </c>
      <c r="V34" s="10">
        <v>82.5</v>
      </c>
      <c r="W34" s="10">
        <v>85.25</v>
      </c>
      <c r="X34" s="10">
        <v>87.666666666666671</v>
      </c>
      <c r="Y34" s="5">
        <f t="shared" si="0"/>
        <v>83.055555555555571</v>
      </c>
      <c r="Z34" s="3">
        <f t="shared" si="1"/>
        <v>10</v>
      </c>
      <c r="AA34" s="2" t="str">
        <f t="shared" si="2"/>
        <v>Enang</v>
      </c>
    </row>
    <row r="35" spans="1:27" s="2" customFormat="1" ht="16.5" x14ac:dyDescent="0.25">
      <c r="A35" s="8">
        <v>33</v>
      </c>
      <c r="B35" s="44" t="s">
        <v>457</v>
      </c>
      <c r="C35" s="9" t="s">
        <v>304</v>
      </c>
      <c r="D35" s="9" t="s">
        <v>458</v>
      </c>
      <c r="E35" s="49" t="s">
        <v>459</v>
      </c>
      <c r="F35" s="46" t="s">
        <v>460</v>
      </c>
      <c r="G35" s="46" t="s">
        <v>461</v>
      </c>
      <c r="H35" s="47" t="s">
        <v>143</v>
      </c>
      <c r="I35" s="48" t="s">
        <v>144</v>
      </c>
      <c r="J35" s="10">
        <v>82.166666666666671</v>
      </c>
      <c r="K35" s="10">
        <v>84</v>
      </c>
      <c r="L35" s="10">
        <v>83.666666666666671</v>
      </c>
      <c r="M35" s="10">
        <v>76.333333333333329</v>
      </c>
      <c r="N35" s="11">
        <v>77</v>
      </c>
      <c r="O35" s="10">
        <v>81.166666666666671</v>
      </c>
      <c r="P35" s="10">
        <v>80.5</v>
      </c>
      <c r="Q35" s="10">
        <v>77</v>
      </c>
      <c r="R35" s="10">
        <v>85</v>
      </c>
      <c r="S35" s="10">
        <v>81.5</v>
      </c>
      <c r="T35" s="10">
        <v>83.5</v>
      </c>
      <c r="U35" s="10">
        <v>83.5</v>
      </c>
      <c r="V35" s="10">
        <v>79.5</v>
      </c>
      <c r="W35" s="10">
        <v>81</v>
      </c>
      <c r="X35" s="10">
        <v>83.541666666666671</v>
      </c>
      <c r="Y35" s="5">
        <f t="shared" si="0"/>
        <v>81.291666666666686</v>
      </c>
      <c r="Z35" s="3">
        <f t="shared" si="1"/>
        <v>15</v>
      </c>
      <c r="AA35" s="2" t="str">
        <f t="shared" si="2"/>
        <v>Nandang Tarjana</v>
      </c>
    </row>
    <row r="36" spans="1:27" s="2" customFormat="1" ht="16.5" x14ac:dyDescent="0.25">
      <c r="A36" s="8">
        <v>34</v>
      </c>
      <c r="B36" s="44" t="s">
        <v>462</v>
      </c>
      <c r="C36" s="9" t="s">
        <v>304</v>
      </c>
      <c r="D36" s="9" t="s">
        <v>463</v>
      </c>
      <c r="E36" s="49" t="s">
        <v>464</v>
      </c>
      <c r="F36" s="46" t="s">
        <v>465</v>
      </c>
      <c r="G36" s="46" t="s">
        <v>466</v>
      </c>
      <c r="H36" s="47" t="s">
        <v>143</v>
      </c>
      <c r="I36" s="48" t="s">
        <v>144</v>
      </c>
      <c r="J36" s="10">
        <v>82.666666666666671</v>
      </c>
      <c r="K36" s="10">
        <v>82</v>
      </c>
      <c r="L36" s="10">
        <v>83.166666666666671</v>
      </c>
      <c r="M36" s="10">
        <v>82</v>
      </c>
      <c r="N36" s="11">
        <v>75</v>
      </c>
      <c r="O36" s="10">
        <v>79.333333333333329</v>
      </c>
      <c r="P36" s="10">
        <v>80.5</v>
      </c>
      <c r="Q36" s="10">
        <v>77.25</v>
      </c>
      <c r="R36" s="10">
        <v>86.75</v>
      </c>
      <c r="S36" s="10">
        <v>72.5</v>
      </c>
      <c r="T36" s="10">
        <v>83</v>
      </c>
      <c r="U36" s="10">
        <v>79.5</v>
      </c>
      <c r="V36" s="10">
        <v>80.5</v>
      </c>
      <c r="W36" s="10">
        <v>80.625</v>
      </c>
      <c r="X36" s="10">
        <v>84.041666666666671</v>
      </c>
      <c r="Y36" s="5">
        <f t="shared" si="0"/>
        <v>80.588888888888903</v>
      </c>
      <c r="Z36" s="3">
        <f t="shared" si="1"/>
        <v>20</v>
      </c>
      <c r="AA36" s="2" t="str">
        <f t="shared" si="2"/>
        <v>Muhamad Syarif Arifin</v>
      </c>
    </row>
    <row r="37" spans="1:27" s="2" customFormat="1" ht="16.5" x14ac:dyDescent="0.25">
      <c r="A37" s="8">
        <v>35</v>
      </c>
      <c r="B37" s="44" t="s">
        <v>467</v>
      </c>
      <c r="C37" s="9" t="s">
        <v>304</v>
      </c>
      <c r="D37" s="9" t="s">
        <v>468</v>
      </c>
      <c r="E37" s="49" t="s">
        <v>469</v>
      </c>
      <c r="F37" s="46" t="s">
        <v>470</v>
      </c>
      <c r="G37" s="46" t="s">
        <v>471</v>
      </c>
      <c r="H37" s="47" t="s">
        <v>143</v>
      </c>
      <c r="I37" s="48" t="s">
        <v>144</v>
      </c>
      <c r="J37" s="10">
        <v>86.5</v>
      </c>
      <c r="K37" s="10">
        <v>85.5</v>
      </c>
      <c r="L37" s="10">
        <v>88.833333333333329</v>
      </c>
      <c r="M37" s="10">
        <v>77.166666666666671</v>
      </c>
      <c r="N37" s="11">
        <v>76.5</v>
      </c>
      <c r="O37" s="10">
        <v>87.5</v>
      </c>
      <c r="P37" s="10">
        <v>82.5</v>
      </c>
      <c r="Q37" s="10">
        <v>78</v>
      </c>
      <c r="R37" s="10">
        <v>89</v>
      </c>
      <c r="S37" s="10">
        <v>84.5</v>
      </c>
      <c r="T37" s="10">
        <v>83.5</v>
      </c>
      <c r="U37" s="10">
        <v>88.5</v>
      </c>
      <c r="V37" s="10">
        <v>88.5</v>
      </c>
      <c r="W37" s="10">
        <v>86.375</v>
      </c>
      <c r="X37" s="10">
        <v>90.708333333333329</v>
      </c>
      <c r="Y37" s="5">
        <f t="shared" si="0"/>
        <v>84.905555555555551</v>
      </c>
      <c r="Z37" s="3">
        <f t="shared" si="1"/>
        <v>5</v>
      </c>
      <c r="AA37" s="2" t="str">
        <f t="shared" si="2"/>
        <v>Ruhyatna</v>
      </c>
    </row>
    <row r="38" spans="1:27" s="2" customFormat="1" ht="16.5" x14ac:dyDescent="0.25">
      <c r="A38" s="8">
        <v>36</v>
      </c>
      <c r="B38" s="44" t="s">
        <v>472</v>
      </c>
      <c r="C38" s="9" t="s">
        <v>304</v>
      </c>
      <c r="D38" s="9" t="s">
        <v>473</v>
      </c>
      <c r="E38" s="49" t="s">
        <v>474</v>
      </c>
      <c r="F38" s="46" t="s">
        <v>475</v>
      </c>
      <c r="G38" s="46" t="s">
        <v>476</v>
      </c>
      <c r="H38" s="47" t="s">
        <v>143</v>
      </c>
      <c r="I38" s="48" t="s">
        <v>144</v>
      </c>
      <c r="J38" s="10">
        <v>85.5</v>
      </c>
      <c r="K38" s="10">
        <v>84.666666666666671</v>
      </c>
      <c r="L38" s="10">
        <v>87</v>
      </c>
      <c r="M38" s="10">
        <v>78</v>
      </c>
      <c r="N38" s="11">
        <v>77.5</v>
      </c>
      <c r="O38" s="10">
        <v>80.666666666666671</v>
      </c>
      <c r="P38" s="10">
        <v>83</v>
      </c>
      <c r="Q38" s="10">
        <v>79.5</v>
      </c>
      <c r="R38" s="10">
        <v>85.5</v>
      </c>
      <c r="S38" s="10">
        <v>83.5</v>
      </c>
      <c r="T38" s="10">
        <v>83.5</v>
      </c>
      <c r="U38" s="10">
        <v>87.5</v>
      </c>
      <c r="V38" s="10">
        <v>86</v>
      </c>
      <c r="W38" s="10">
        <v>84.75</v>
      </c>
      <c r="X38" s="10">
        <v>88.583333333333329</v>
      </c>
      <c r="Y38" s="5">
        <f t="shared" si="0"/>
        <v>83.677777777777777</v>
      </c>
      <c r="Z38" s="3">
        <f t="shared" si="1"/>
        <v>9</v>
      </c>
      <c r="AA38" s="2" t="str">
        <f t="shared" si="2"/>
        <v>Atep Suhendar</v>
      </c>
    </row>
    <row r="39" spans="1:27" s="2" customFormat="1" ht="16.5" x14ac:dyDescent="0.25">
      <c r="A39" s="8">
        <v>37</v>
      </c>
      <c r="B39" s="44" t="s">
        <v>477</v>
      </c>
      <c r="C39" s="9" t="s">
        <v>304</v>
      </c>
      <c r="D39" s="9" t="s">
        <v>478</v>
      </c>
      <c r="E39" s="49" t="s">
        <v>479</v>
      </c>
      <c r="F39" s="46" t="s">
        <v>480</v>
      </c>
      <c r="G39" s="46" t="s">
        <v>481</v>
      </c>
      <c r="H39" s="47" t="s">
        <v>143</v>
      </c>
      <c r="I39" s="48" t="s">
        <v>144</v>
      </c>
      <c r="J39" s="10">
        <v>81.666666666666671</v>
      </c>
      <c r="K39" s="10">
        <v>83.666666666666671</v>
      </c>
      <c r="L39" s="10">
        <v>82.333333333333329</v>
      </c>
      <c r="M39" s="10">
        <v>76.166666666666671</v>
      </c>
      <c r="N39" s="11">
        <v>75</v>
      </c>
      <c r="O39" s="10">
        <v>80.5</v>
      </c>
      <c r="P39" s="10">
        <v>78</v>
      </c>
      <c r="Q39" s="10">
        <v>77.75</v>
      </c>
      <c r="R39" s="10">
        <v>79</v>
      </c>
      <c r="S39" s="10">
        <v>78</v>
      </c>
      <c r="T39" s="10">
        <v>82.5</v>
      </c>
      <c r="U39" s="10">
        <v>80</v>
      </c>
      <c r="V39" s="10">
        <v>77.5</v>
      </c>
      <c r="W39" s="10">
        <v>76.25</v>
      </c>
      <c r="X39" s="10">
        <v>81.666666666666671</v>
      </c>
      <c r="Y39" s="5">
        <f t="shared" si="0"/>
        <v>79.333333333333343</v>
      </c>
      <c r="Z39" s="3">
        <f t="shared" si="1"/>
        <v>33</v>
      </c>
      <c r="AA39" s="2" t="str">
        <f t="shared" si="2"/>
        <v>Tatang Sunarya</v>
      </c>
    </row>
    <row r="40" spans="1:27" s="2" customFormat="1" ht="16.5" x14ac:dyDescent="0.25">
      <c r="A40" s="8">
        <v>38</v>
      </c>
      <c r="B40" s="44" t="s">
        <v>482</v>
      </c>
      <c r="C40" s="9" t="s">
        <v>304</v>
      </c>
      <c r="D40" s="9" t="s">
        <v>483</v>
      </c>
      <c r="E40" s="49" t="s">
        <v>484</v>
      </c>
      <c r="F40" s="46" t="s">
        <v>485</v>
      </c>
      <c r="G40" s="46" t="s">
        <v>486</v>
      </c>
      <c r="H40" s="47" t="s">
        <v>143</v>
      </c>
      <c r="I40" s="48" t="s">
        <v>144</v>
      </c>
      <c r="J40" s="10">
        <v>83.166666666666671</v>
      </c>
      <c r="K40" s="10">
        <v>84.666666666666671</v>
      </c>
      <c r="L40" s="10">
        <v>82.166666666666671</v>
      </c>
      <c r="M40" s="10">
        <v>77.833333333333329</v>
      </c>
      <c r="N40" s="11">
        <v>76.5</v>
      </c>
      <c r="O40" s="10">
        <v>80.833333333333329</v>
      </c>
      <c r="P40" s="10">
        <v>81.5</v>
      </c>
      <c r="Q40" s="10">
        <v>78</v>
      </c>
      <c r="R40" s="10">
        <v>83</v>
      </c>
      <c r="S40" s="10">
        <v>80</v>
      </c>
      <c r="T40" s="10">
        <v>84</v>
      </c>
      <c r="U40" s="10">
        <v>83</v>
      </c>
      <c r="V40" s="10">
        <v>77</v>
      </c>
      <c r="W40" s="10">
        <v>81.375</v>
      </c>
      <c r="X40" s="10">
        <v>84.125</v>
      </c>
      <c r="Y40" s="5">
        <f t="shared" si="0"/>
        <v>81.144444444444431</v>
      </c>
      <c r="Z40" s="3">
        <f t="shared" si="1"/>
        <v>16</v>
      </c>
      <c r="AA40" s="2" t="str">
        <f t="shared" si="2"/>
        <v>Nono Darsono</v>
      </c>
    </row>
    <row r="41" spans="1:27" s="2" customFormat="1" ht="16.5" x14ac:dyDescent="0.25">
      <c r="A41" s="8">
        <v>39</v>
      </c>
      <c r="B41" s="44" t="s">
        <v>487</v>
      </c>
      <c r="C41" s="9" t="s">
        <v>304</v>
      </c>
      <c r="D41" s="9" t="s">
        <v>488</v>
      </c>
      <c r="E41" s="49" t="s">
        <v>489</v>
      </c>
      <c r="F41" s="46" t="s">
        <v>490</v>
      </c>
      <c r="G41" s="46" t="s">
        <v>491</v>
      </c>
      <c r="H41" s="47" t="s">
        <v>143</v>
      </c>
      <c r="I41" s="48" t="s">
        <v>144</v>
      </c>
      <c r="J41" s="10">
        <v>84.833333333333329</v>
      </c>
      <c r="K41" s="10">
        <v>83.166666666666671</v>
      </c>
      <c r="L41" s="10">
        <v>83.166666666666671</v>
      </c>
      <c r="M41" s="10">
        <v>78.166666666666671</v>
      </c>
      <c r="N41" s="11">
        <v>76</v>
      </c>
      <c r="O41" s="10">
        <v>80</v>
      </c>
      <c r="P41" s="10">
        <v>80.5</v>
      </c>
      <c r="Q41" s="10">
        <v>75</v>
      </c>
      <c r="R41" s="10">
        <v>82.5</v>
      </c>
      <c r="S41" s="10">
        <v>75.5</v>
      </c>
      <c r="T41" s="10">
        <v>84</v>
      </c>
      <c r="U41" s="10">
        <v>83.5</v>
      </c>
      <c r="V41" s="10">
        <v>85</v>
      </c>
      <c r="W41" s="10">
        <v>81.5</v>
      </c>
      <c r="X41" s="10">
        <v>82.708333333333329</v>
      </c>
      <c r="Y41" s="5">
        <f t="shared" si="0"/>
        <v>81.036111111111111</v>
      </c>
      <c r="Z41" s="3">
        <f t="shared" si="1"/>
        <v>17</v>
      </c>
      <c r="AA41" s="2" t="str">
        <f t="shared" si="2"/>
        <v>Ajat Darojat</v>
      </c>
    </row>
    <row r="42" spans="1:27" s="2" customFormat="1" ht="16.5" x14ac:dyDescent="0.25">
      <c r="A42" s="8">
        <v>40</v>
      </c>
      <c r="B42" s="44" t="s">
        <v>492</v>
      </c>
      <c r="C42" s="9" t="s">
        <v>304</v>
      </c>
      <c r="D42" s="9" t="s">
        <v>493</v>
      </c>
      <c r="E42" s="49" t="s">
        <v>494</v>
      </c>
      <c r="F42" s="46" t="s">
        <v>495</v>
      </c>
      <c r="G42" s="46" t="s">
        <v>496</v>
      </c>
      <c r="H42" s="47" t="s">
        <v>143</v>
      </c>
      <c r="I42" s="48" t="s">
        <v>144</v>
      </c>
      <c r="J42" s="10">
        <v>81.5</v>
      </c>
      <c r="K42" s="10">
        <v>80.166666666666671</v>
      </c>
      <c r="L42" s="10">
        <v>83.5</v>
      </c>
      <c r="M42" s="10">
        <v>77</v>
      </c>
      <c r="N42" s="11">
        <v>75.5</v>
      </c>
      <c r="O42" s="10">
        <v>80.333333333333329</v>
      </c>
      <c r="P42" s="10">
        <v>79.5</v>
      </c>
      <c r="Q42" s="10">
        <v>76.75</v>
      </c>
      <c r="R42" s="10">
        <v>81</v>
      </c>
      <c r="S42" s="10">
        <v>76.5</v>
      </c>
      <c r="T42" s="10">
        <v>83.5</v>
      </c>
      <c r="U42" s="10">
        <v>85</v>
      </c>
      <c r="V42" s="10">
        <v>79</v>
      </c>
      <c r="W42" s="10">
        <v>76.5</v>
      </c>
      <c r="X42" s="10">
        <v>80.541666666666671</v>
      </c>
      <c r="Y42" s="5">
        <f t="shared" si="0"/>
        <v>79.75277777777778</v>
      </c>
      <c r="Z42" s="3">
        <f t="shared" si="1"/>
        <v>27</v>
      </c>
      <c r="AA42" s="2" t="str">
        <f t="shared" si="2"/>
        <v>Solosari Jaenudin</v>
      </c>
    </row>
    <row r="43" spans="1:27" s="2" customFormat="1" ht="16.5" x14ac:dyDescent="0.25">
      <c r="A43" s="8">
        <v>41</v>
      </c>
      <c r="B43" s="44" t="s">
        <v>497</v>
      </c>
      <c r="C43" s="9" t="s">
        <v>304</v>
      </c>
      <c r="D43" s="9" t="s">
        <v>498</v>
      </c>
      <c r="E43" s="50" t="s">
        <v>499</v>
      </c>
      <c r="F43" s="46" t="s">
        <v>500</v>
      </c>
      <c r="G43" s="46" t="s">
        <v>501</v>
      </c>
      <c r="H43" s="51" t="s">
        <v>143</v>
      </c>
      <c r="I43" s="48" t="s">
        <v>144</v>
      </c>
      <c r="J43" s="10">
        <v>87.333333333333329</v>
      </c>
      <c r="K43" s="10">
        <v>89.333333333333329</v>
      </c>
      <c r="L43" s="10">
        <v>89</v>
      </c>
      <c r="M43" s="10">
        <v>84.166666666666671</v>
      </c>
      <c r="N43" s="11">
        <v>77.5</v>
      </c>
      <c r="O43" s="10">
        <v>85.333333333333329</v>
      </c>
      <c r="P43" s="10">
        <v>82.5</v>
      </c>
      <c r="Q43" s="10">
        <v>79.75</v>
      </c>
      <c r="R43" s="10">
        <v>89.5</v>
      </c>
      <c r="S43" s="10">
        <v>84.5</v>
      </c>
      <c r="T43" s="10">
        <v>87.5</v>
      </c>
      <c r="U43" s="10">
        <v>86.5</v>
      </c>
      <c r="V43" s="10">
        <v>87</v>
      </c>
      <c r="W43" s="10">
        <v>86.25</v>
      </c>
      <c r="X43" s="10">
        <v>90.416666666666671</v>
      </c>
      <c r="Y43" s="5">
        <f t="shared" si="0"/>
        <v>85.772222222222211</v>
      </c>
      <c r="Z43" s="3">
        <f t="shared" si="1"/>
        <v>3</v>
      </c>
      <c r="AA43" s="2" t="str">
        <f t="shared" si="2"/>
        <v>Katma</v>
      </c>
    </row>
    <row r="44" spans="1:27" s="2" customFormat="1" x14ac:dyDescent="0.25">
      <c r="A44" s="27">
        <v>42</v>
      </c>
      <c r="B44" s="34" t="s">
        <v>502</v>
      </c>
      <c r="C44" s="30" t="s">
        <v>304</v>
      </c>
      <c r="D44" s="30" t="s">
        <v>503</v>
      </c>
      <c r="E44" s="30" t="s">
        <v>547</v>
      </c>
      <c r="F44" s="27" t="s">
        <v>504</v>
      </c>
      <c r="G44" s="31" t="s">
        <v>505</v>
      </c>
      <c r="H44" s="30" t="s">
        <v>157</v>
      </c>
      <c r="I44" s="30" t="s">
        <v>157</v>
      </c>
      <c r="J44" s="32">
        <v>87.666666666666671</v>
      </c>
      <c r="K44" s="32">
        <v>83.333333333333329</v>
      </c>
      <c r="L44" s="32">
        <v>90.5</v>
      </c>
      <c r="M44" s="32">
        <v>82.833333333333329</v>
      </c>
      <c r="N44" s="33">
        <v>79.5</v>
      </c>
      <c r="O44" s="32">
        <v>88.166666666666671</v>
      </c>
      <c r="P44" s="32">
        <v>86.5</v>
      </c>
      <c r="Q44" s="32">
        <v>80.75</v>
      </c>
      <c r="R44" s="32">
        <v>88</v>
      </c>
      <c r="S44" s="32">
        <v>83.5</v>
      </c>
      <c r="T44" s="32">
        <v>82.5</v>
      </c>
      <c r="U44" s="32">
        <v>91.5</v>
      </c>
      <c r="V44" s="32">
        <v>87</v>
      </c>
      <c r="W44" s="32">
        <v>88.5</v>
      </c>
      <c r="X44" s="32">
        <v>92.291666666666671</v>
      </c>
      <c r="Y44" s="5">
        <f t="shared" si="0"/>
        <v>86.169444444444451</v>
      </c>
      <c r="Z44" s="3">
        <f t="shared" si="1"/>
        <v>2</v>
      </c>
      <c r="AA44" s="2" t="str">
        <f t="shared" si="2"/>
        <v>Angwarudin</v>
      </c>
    </row>
    <row r="45" spans="1:27" s="2" customFormat="1" x14ac:dyDescent="0.25">
      <c r="A45" s="27">
        <v>43</v>
      </c>
      <c r="B45" s="34" t="s">
        <v>506</v>
      </c>
      <c r="C45" s="30" t="s">
        <v>304</v>
      </c>
      <c r="D45" s="30" t="s">
        <v>507</v>
      </c>
      <c r="E45" s="30" t="s">
        <v>508</v>
      </c>
      <c r="F45" s="27" t="s">
        <v>509</v>
      </c>
      <c r="G45" s="31" t="s">
        <v>510</v>
      </c>
      <c r="H45" s="30" t="s">
        <v>157</v>
      </c>
      <c r="I45" s="30" t="s">
        <v>157</v>
      </c>
      <c r="J45" s="32">
        <v>83.333333333333329</v>
      </c>
      <c r="K45" s="32">
        <v>78.833333333333329</v>
      </c>
      <c r="L45" s="32">
        <v>81.833333333333329</v>
      </c>
      <c r="M45" s="32">
        <v>78.333333333333329</v>
      </c>
      <c r="N45" s="33">
        <v>75.5</v>
      </c>
      <c r="O45" s="32">
        <v>79.333333333333329</v>
      </c>
      <c r="P45" s="32">
        <v>81</v>
      </c>
      <c r="Q45" s="32">
        <v>79</v>
      </c>
      <c r="R45" s="32">
        <v>83</v>
      </c>
      <c r="S45" s="32">
        <v>76.5</v>
      </c>
      <c r="T45" s="32">
        <v>81</v>
      </c>
      <c r="U45" s="32">
        <v>81.5</v>
      </c>
      <c r="V45" s="32">
        <v>78.5</v>
      </c>
      <c r="W45" s="32">
        <v>80.25</v>
      </c>
      <c r="X45" s="32">
        <v>86.208333333333329</v>
      </c>
      <c r="Y45" s="5">
        <f t="shared" si="0"/>
        <v>80.274999999999991</v>
      </c>
      <c r="Z45" s="3">
        <f t="shared" si="1"/>
        <v>22</v>
      </c>
      <c r="AA45" s="2" t="str">
        <f t="shared" si="2"/>
        <v>Oman</v>
      </c>
    </row>
    <row r="46" spans="1:27" s="2" customFormat="1" x14ac:dyDescent="0.25">
      <c r="A46" s="27">
        <v>44</v>
      </c>
      <c r="B46" s="34" t="s">
        <v>511</v>
      </c>
      <c r="C46" s="30" t="s">
        <v>304</v>
      </c>
      <c r="D46" s="30" t="s">
        <v>488</v>
      </c>
      <c r="E46" s="30" t="s">
        <v>551</v>
      </c>
      <c r="F46" s="27" t="s">
        <v>512</v>
      </c>
      <c r="G46" s="31" t="s">
        <v>513</v>
      </c>
      <c r="H46" s="30" t="s">
        <v>157</v>
      </c>
      <c r="I46" s="30" t="s">
        <v>157</v>
      </c>
      <c r="J46" s="32">
        <v>78</v>
      </c>
      <c r="K46" s="32">
        <v>74.833333333333329</v>
      </c>
      <c r="L46" s="32">
        <v>77.166666666666671</v>
      </c>
      <c r="M46" s="32">
        <v>75.666666666666671</v>
      </c>
      <c r="N46" s="33">
        <v>74.5</v>
      </c>
      <c r="O46" s="32">
        <v>76.666666666666671</v>
      </c>
      <c r="P46" s="32">
        <v>75.5</v>
      </c>
      <c r="Q46" s="32">
        <v>76.75</v>
      </c>
      <c r="R46" s="32">
        <v>74</v>
      </c>
      <c r="S46" s="32">
        <v>70.5</v>
      </c>
      <c r="T46" s="32">
        <v>81.5</v>
      </c>
      <c r="U46" s="32">
        <v>79</v>
      </c>
      <c r="V46" s="32">
        <v>76.5</v>
      </c>
      <c r="W46" s="32">
        <v>74.625</v>
      </c>
      <c r="X46" s="32">
        <v>77.291666666666671</v>
      </c>
      <c r="Y46" s="5">
        <f t="shared" si="0"/>
        <v>76.166666666666686</v>
      </c>
      <c r="Z46" s="3">
        <f t="shared" si="1"/>
        <v>47</v>
      </c>
      <c r="AA46" s="2" t="str">
        <f t="shared" si="2"/>
        <v>Atep Sobar Suparman</v>
      </c>
    </row>
    <row r="47" spans="1:27" s="2" customFormat="1" x14ac:dyDescent="0.25">
      <c r="A47" s="27">
        <v>45</v>
      </c>
      <c r="B47" s="34" t="s">
        <v>514</v>
      </c>
      <c r="C47" s="30" t="s">
        <v>304</v>
      </c>
      <c r="D47" s="30" t="s">
        <v>515</v>
      </c>
      <c r="E47" s="30" t="s">
        <v>548</v>
      </c>
      <c r="F47" s="27" t="s">
        <v>516</v>
      </c>
      <c r="G47" s="31" t="s">
        <v>517</v>
      </c>
      <c r="H47" s="30" t="s">
        <v>157</v>
      </c>
      <c r="I47" s="30" t="s">
        <v>157</v>
      </c>
      <c r="J47" s="32">
        <v>82.333333333333329</v>
      </c>
      <c r="K47" s="32">
        <v>78.666666666666671</v>
      </c>
      <c r="L47" s="32">
        <v>82.166666666666671</v>
      </c>
      <c r="M47" s="32">
        <v>75</v>
      </c>
      <c r="N47" s="33">
        <v>76</v>
      </c>
      <c r="O47" s="32">
        <v>79.666666666666671</v>
      </c>
      <c r="P47" s="32">
        <v>84</v>
      </c>
      <c r="Q47" s="32">
        <v>79.5</v>
      </c>
      <c r="R47" s="32">
        <v>78.5</v>
      </c>
      <c r="S47" s="32">
        <v>76.5</v>
      </c>
      <c r="T47" s="32">
        <v>81</v>
      </c>
      <c r="U47" s="32">
        <v>84.5</v>
      </c>
      <c r="V47" s="32">
        <v>79</v>
      </c>
      <c r="W47" s="32">
        <v>81.625</v>
      </c>
      <c r="X47" s="32">
        <v>83.125</v>
      </c>
      <c r="Y47" s="5">
        <f t="shared" si="0"/>
        <v>80.105555555555569</v>
      </c>
      <c r="Z47" s="3">
        <f t="shared" si="1"/>
        <v>23</v>
      </c>
      <c r="AA47" s="2" t="str">
        <f t="shared" si="2"/>
        <v>Engkus</v>
      </c>
    </row>
    <row r="48" spans="1:27" s="2" customFormat="1" x14ac:dyDescent="0.25">
      <c r="A48" s="12">
        <v>46</v>
      </c>
      <c r="B48" s="52" t="s">
        <v>518</v>
      </c>
      <c r="C48" s="14" t="s">
        <v>519</v>
      </c>
      <c r="D48" s="14" t="s">
        <v>520</v>
      </c>
      <c r="E48" s="14" t="s">
        <v>549</v>
      </c>
      <c r="F48" s="12" t="s">
        <v>521</v>
      </c>
      <c r="G48" s="16" t="s">
        <v>522</v>
      </c>
      <c r="H48" s="14" t="s">
        <v>170</v>
      </c>
      <c r="I48" s="14" t="s">
        <v>170</v>
      </c>
      <c r="J48" s="17">
        <v>86.333333333333329</v>
      </c>
      <c r="K48" s="17">
        <v>79.833333333333329</v>
      </c>
      <c r="L48" s="17">
        <v>84.333333333333329</v>
      </c>
      <c r="M48" s="17">
        <v>76.5</v>
      </c>
      <c r="N48" s="18">
        <v>78</v>
      </c>
      <c r="O48" s="17">
        <v>83.166666666666671</v>
      </c>
      <c r="P48" s="17">
        <v>83.5</v>
      </c>
      <c r="Q48" s="17">
        <v>79.25</v>
      </c>
      <c r="R48" s="17">
        <v>85</v>
      </c>
      <c r="S48" s="17">
        <v>76</v>
      </c>
      <c r="T48" s="17">
        <v>83</v>
      </c>
      <c r="U48" s="17">
        <v>85</v>
      </c>
      <c r="V48" s="17">
        <v>85.5</v>
      </c>
      <c r="W48" s="17">
        <v>85</v>
      </c>
      <c r="X48" s="17">
        <v>84.55</v>
      </c>
      <c r="Y48" s="5">
        <f t="shared" si="0"/>
        <v>82.331111111111113</v>
      </c>
      <c r="Z48" s="3">
        <f t="shared" si="1"/>
        <v>11</v>
      </c>
      <c r="AA48" s="2" t="str">
        <f t="shared" si="2"/>
        <v>Toto Suherman</v>
      </c>
    </row>
    <row r="49" spans="1:27" s="2" customFormat="1" x14ac:dyDescent="0.25">
      <c r="A49" s="12">
        <v>47</v>
      </c>
      <c r="B49" s="52" t="s">
        <v>523</v>
      </c>
      <c r="C49" s="14" t="s">
        <v>304</v>
      </c>
      <c r="D49" s="14" t="s">
        <v>524</v>
      </c>
      <c r="E49" s="14" t="s">
        <v>257</v>
      </c>
      <c r="F49" s="12" t="s">
        <v>525</v>
      </c>
      <c r="G49" s="16" t="s">
        <v>526</v>
      </c>
      <c r="H49" s="14" t="s">
        <v>170</v>
      </c>
      <c r="I49" s="14" t="s">
        <v>170</v>
      </c>
      <c r="J49" s="17">
        <v>80.5</v>
      </c>
      <c r="K49" s="17">
        <v>78.666666666666671</v>
      </c>
      <c r="L49" s="17">
        <v>82.333333333333329</v>
      </c>
      <c r="M49" s="17">
        <v>77.5</v>
      </c>
      <c r="N49" s="18">
        <v>76</v>
      </c>
      <c r="O49" s="17">
        <v>77.5</v>
      </c>
      <c r="P49" s="17">
        <v>81.5</v>
      </c>
      <c r="Q49" s="17">
        <v>72.75</v>
      </c>
      <c r="R49" s="17">
        <v>83</v>
      </c>
      <c r="S49" s="17">
        <v>77</v>
      </c>
      <c r="T49" s="17">
        <v>82</v>
      </c>
      <c r="U49" s="17">
        <v>82.5</v>
      </c>
      <c r="V49" s="17">
        <v>83</v>
      </c>
      <c r="W49" s="17">
        <v>82.5</v>
      </c>
      <c r="X49" s="17">
        <v>84.3</v>
      </c>
      <c r="Y49" s="5">
        <f t="shared" si="0"/>
        <v>80.069999999999993</v>
      </c>
      <c r="Z49" s="3">
        <f t="shared" si="1"/>
        <v>24</v>
      </c>
      <c r="AA49" s="2" t="str">
        <f t="shared" si="2"/>
        <v>Dadang</v>
      </c>
    </row>
    <row r="50" spans="1:27" s="2" customFormat="1" x14ac:dyDescent="0.25">
      <c r="A50" s="12">
        <v>48</v>
      </c>
      <c r="B50" s="14" t="s">
        <v>527</v>
      </c>
      <c r="C50" s="14" t="s">
        <v>304</v>
      </c>
      <c r="D50" s="14" t="s">
        <v>528</v>
      </c>
      <c r="E50" s="14" t="s">
        <v>529</v>
      </c>
      <c r="F50" s="12" t="s">
        <v>530</v>
      </c>
      <c r="G50" s="12" t="s">
        <v>531</v>
      </c>
      <c r="H50" s="14" t="s">
        <v>170</v>
      </c>
      <c r="I50" s="14" t="s">
        <v>170</v>
      </c>
      <c r="J50" s="17">
        <v>79</v>
      </c>
      <c r="K50" s="17">
        <v>78</v>
      </c>
      <c r="L50" s="17">
        <v>80</v>
      </c>
      <c r="M50" s="17">
        <v>76.666666666666671</v>
      </c>
      <c r="N50" s="18">
        <v>74</v>
      </c>
      <c r="O50" s="17">
        <v>76.333333333333329</v>
      </c>
      <c r="P50" s="17">
        <v>80</v>
      </c>
      <c r="Q50" s="17">
        <v>73.5</v>
      </c>
      <c r="R50" s="17">
        <v>82.5</v>
      </c>
      <c r="S50" s="17">
        <v>75</v>
      </c>
      <c r="T50" s="17">
        <v>80</v>
      </c>
      <c r="U50" s="17">
        <v>80</v>
      </c>
      <c r="V50" s="17">
        <v>79</v>
      </c>
      <c r="W50" s="17">
        <v>79.333333333333329</v>
      </c>
      <c r="X50" s="17">
        <v>81</v>
      </c>
      <c r="Y50" s="5">
        <f t="shared" si="0"/>
        <v>78.288888888888877</v>
      </c>
      <c r="Z50" s="3">
        <f t="shared" si="1"/>
        <v>42</v>
      </c>
      <c r="AA50" s="2" t="str">
        <f t="shared" si="2"/>
        <v>Kusnanjar</v>
      </c>
    </row>
    <row r="51" spans="1:27" s="2" customFormat="1" x14ac:dyDescent="0.25">
      <c r="A51" s="12">
        <v>49</v>
      </c>
      <c r="B51" s="13" t="s">
        <v>532</v>
      </c>
      <c r="C51" s="15" t="s">
        <v>304</v>
      </c>
      <c r="D51" s="14" t="s">
        <v>410</v>
      </c>
      <c r="E51" s="53" t="s">
        <v>550</v>
      </c>
      <c r="F51" s="12" t="s">
        <v>533</v>
      </c>
      <c r="G51" s="54" t="s">
        <v>534</v>
      </c>
      <c r="H51" s="14" t="s">
        <v>170</v>
      </c>
      <c r="I51" s="14" t="s">
        <v>170</v>
      </c>
      <c r="J51" s="17">
        <v>77.333333333333329</v>
      </c>
      <c r="K51" s="18">
        <v>77.833333333333329</v>
      </c>
      <c r="L51" s="17">
        <v>76.833333333333329</v>
      </c>
      <c r="M51" s="17">
        <v>74.833333333333329</v>
      </c>
      <c r="N51" s="17">
        <v>73</v>
      </c>
      <c r="O51" s="17">
        <v>74.666666666666671</v>
      </c>
      <c r="P51" s="17">
        <v>74</v>
      </c>
      <c r="Q51" s="17">
        <v>72.75</v>
      </c>
      <c r="R51" s="17">
        <v>75.25</v>
      </c>
      <c r="S51" s="18">
        <v>71</v>
      </c>
      <c r="T51" s="17">
        <v>72.5</v>
      </c>
      <c r="U51" s="17">
        <v>72.5</v>
      </c>
      <c r="V51" s="17">
        <v>72.5</v>
      </c>
      <c r="W51" s="17">
        <v>72.5</v>
      </c>
      <c r="X51" s="17">
        <v>75.8</v>
      </c>
      <c r="Y51" s="5">
        <f t="shared" si="0"/>
        <v>74.22</v>
      </c>
      <c r="Z51" s="3">
        <f t="shared" si="1"/>
        <v>48</v>
      </c>
      <c r="AA51" s="2" t="str">
        <f t="shared" si="2"/>
        <v>Maman Isman</v>
      </c>
    </row>
    <row r="52" spans="1:27" s="2" customFormat="1" x14ac:dyDescent="0.25">
      <c r="A52" s="27"/>
      <c r="B52" s="28"/>
      <c r="C52" s="29"/>
      <c r="D52" s="30"/>
      <c r="E52" s="35"/>
      <c r="F52" s="27"/>
      <c r="G52" s="36"/>
      <c r="H52" s="30"/>
      <c r="I52" s="30"/>
      <c r="J52" s="32"/>
      <c r="K52" s="33"/>
      <c r="L52" s="32"/>
      <c r="M52" s="32"/>
      <c r="N52" s="32"/>
      <c r="O52" s="32"/>
      <c r="P52" s="32"/>
      <c r="Q52" s="32"/>
      <c r="R52" s="32"/>
      <c r="S52" s="33"/>
      <c r="T52" s="32"/>
      <c r="U52" s="32"/>
      <c r="V52" s="32"/>
      <c r="W52" s="32"/>
      <c r="X52" s="32"/>
      <c r="Y52" s="32"/>
      <c r="Z52" s="27"/>
    </row>
    <row r="53" spans="1:27" s="2" customFormat="1" x14ac:dyDescent="0.25">
      <c r="A53" s="27"/>
      <c r="B53" s="28"/>
      <c r="C53" s="29"/>
      <c r="D53" s="30"/>
      <c r="E53" s="35"/>
      <c r="F53" s="27"/>
      <c r="G53" s="36"/>
      <c r="H53" s="30"/>
      <c r="I53" s="30"/>
      <c r="J53" s="32"/>
      <c r="K53" s="33"/>
      <c r="L53" s="32"/>
      <c r="M53" s="32"/>
      <c r="N53" s="32"/>
      <c r="O53" s="32"/>
      <c r="P53" s="32"/>
      <c r="Q53" s="32"/>
      <c r="R53" s="32"/>
      <c r="S53" s="33"/>
      <c r="T53" s="32"/>
      <c r="U53" s="32"/>
      <c r="V53" s="32"/>
      <c r="W53" s="32"/>
      <c r="X53" s="32"/>
      <c r="Y53" s="32"/>
      <c r="Z53" s="27"/>
    </row>
    <row r="54" spans="1:27" s="2" customFormat="1" x14ac:dyDescent="0.25">
      <c r="A54" s="27"/>
      <c r="B54" s="28"/>
      <c r="C54" s="29"/>
      <c r="D54" s="37"/>
      <c r="E54" s="35"/>
      <c r="F54" s="27"/>
      <c r="G54" s="36"/>
      <c r="H54" s="30"/>
      <c r="I54" s="30"/>
      <c r="J54" s="32"/>
      <c r="K54" s="33"/>
      <c r="L54" s="32"/>
      <c r="M54" s="32"/>
      <c r="N54" s="32"/>
      <c r="O54" s="32"/>
      <c r="P54" s="32"/>
      <c r="Q54" s="32"/>
      <c r="R54" s="32"/>
      <c r="S54" s="33"/>
      <c r="T54" s="32"/>
      <c r="U54" s="32"/>
      <c r="V54" s="32"/>
      <c r="W54" s="32"/>
      <c r="X54" s="32"/>
      <c r="Y54" s="32"/>
      <c r="Z54" s="27"/>
    </row>
    <row r="55" spans="1:27" s="2" customFormat="1" x14ac:dyDescent="0.25">
      <c r="A55" s="27"/>
      <c r="B55" s="34"/>
      <c r="C55" s="29"/>
      <c r="D55" s="30"/>
      <c r="E55" s="30"/>
      <c r="F55" s="27"/>
      <c r="G55" s="36"/>
      <c r="H55" s="30"/>
      <c r="I55" s="30"/>
      <c r="J55" s="32"/>
      <c r="K55" s="33"/>
      <c r="L55" s="32"/>
      <c r="M55" s="32"/>
      <c r="N55" s="33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27"/>
    </row>
    <row r="56" spans="1:27" s="2" customFormat="1" x14ac:dyDescent="0.25">
      <c r="A56" s="27"/>
      <c r="B56" s="34"/>
      <c r="C56" s="29"/>
      <c r="D56" s="30"/>
      <c r="E56" s="30"/>
      <c r="F56" s="27"/>
      <c r="G56" s="36"/>
      <c r="H56" s="30"/>
      <c r="I56" s="30"/>
      <c r="J56" s="32"/>
      <c r="K56" s="33"/>
      <c r="L56" s="32"/>
      <c r="M56" s="32"/>
      <c r="N56" s="33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27"/>
    </row>
    <row r="57" spans="1:27" s="2" customFormat="1" x14ac:dyDescent="0.25">
      <c r="A57" s="27"/>
      <c r="B57" s="34"/>
      <c r="C57" s="29"/>
      <c r="D57" s="30"/>
      <c r="E57" s="30"/>
      <c r="F57" s="27"/>
      <c r="G57" s="36"/>
      <c r="H57" s="30"/>
      <c r="I57" s="30"/>
      <c r="J57" s="32"/>
      <c r="K57" s="33"/>
      <c r="L57" s="32"/>
      <c r="M57" s="32"/>
      <c r="N57" s="33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27"/>
    </row>
    <row r="58" spans="1:27" s="2" customFormat="1" x14ac:dyDescent="0.25">
      <c r="A58" s="27"/>
      <c r="B58" s="38"/>
      <c r="C58" s="29"/>
      <c r="D58" s="30"/>
      <c r="E58" s="30"/>
      <c r="F58" s="27"/>
      <c r="G58" s="36"/>
      <c r="H58" s="30"/>
      <c r="I58" s="30"/>
      <c r="J58" s="32"/>
      <c r="K58" s="33"/>
      <c r="L58" s="32"/>
      <c r="M58" s="32"/>
      <c r="N58" s="33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27"/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CA1C-5E17-4DD8-A53D-5A87748FED7D}">
  <dimension ref="A1:Y57"/>
  <sheetViews>
    <sheetView zoomScaleNormal="100" workbookViewId="0">
      <selection activeCell="AA15" sqref="AA15"/>
    </sheetView>
  </sheetViews>
  <sheetFormatPr defaultRowHeight="15" x14ac:dyDescent="0.25"/>
  <cols>
    <col min="1" max="1" width="6.28515625" customWidth="1"/>
    <col min="2" max="2" width="29.42578125" style="25" customWidth="1"/>
    <col min="3" max="3" width="18.42578125" style="25" customWidth="1"/>
    <col min="4" max="4" width="21.85546875" style="25" customWidth="1"/>
    <col min="5" max="5" width="12.28515625" customWidth="1"/>
    <col min="6" max="6" width="12" customWidth="1"/>
    <col min="7" max="7" width="16.5703125" style="25" customWidth="1"/>
    <col min="8" max="8" width="29" style="25" customWidth="1"/>
    <col min="9" max="25" width="9.7109375" customWidth="1"/>
  </cols>
  <sheetData>
    <row r="1" spans="1:25" x14ac:dyDescent="0.25">
      <c r="A1" s="21" t="s">
        <v>0</v>
      </c>
      <c r="B1" s="21" t="s">
        <v>1</v>
      </c>
      <c r="C1" s="21" t="s">
        <v>2</v>
      </c>
      <c r="D1" s="21" t="s">
        <v>229</v>
      </c>
      <c r="E1" s="21" t="s">
        <v>3</v>
      </c>
      <c r="F1" s="21" t="s">
        <v>173</v>
      </c>
      <c r="G1" s="23" t="s">
        <v>4</v>
      </c>
      <c r="H1" s="21" t="s">
        <v>5</v>
      </c>
      <c r="I1" s="21" t="s">
        <v>230</v>
      </c>
      <c r="J1" s="21" t="s">
        <v>231</v>
      </c>
      <c r="K1" s="21" t="s">
        <v>232</v>
      </c>
      <c r="L1" s="21" t="s">
        <v>233</v>
      </c>
      <c r="M1" s="21" t="s">
        <v>234</v>
      </c>
      <c r="N1" s="21" t="s">
        <v>235</v>
      </c>
      <c r="O1" s="21" t="s">
        <v>236</v>
      </c>
      <c r="P1" s="21" t="s">
        <v>237</v>
      </c>
      <c r="Q1" s="21" t="s">
        <v>238</v>
      </c>
      <c r="R1" s="21" t="s">
        <v>239</v>
      </c>
      <c r="S1" s="21" t="s">
        <v>241</v>
      </c>
      <c r="T1" s="21" t="s">
        <v>240</v>
      </c>
      <c r="U1" s="21" t="s">
        <v>242</v>
      </c>
      <c r="V1" s="21" t="s">
        <v>302</v>
      </c>
      <c r="W1" s="21" t="s">
        <v>243</v>
      </c>
      <c r="X1" s="21" t="s">
        <v>244</v>
      </c>
      <c r="Y1" s="21" t="s">
        <v>245</v>
      </c>
    </row>
    <row r="2" spans="1:25" x14ac:dyDescent="0.25">
      <c r="A2" s="8">
        <v>1</v>
      </c>
      <c r="B2" s="24" t="s">
        <v>101</v>
      </c>
      <c r="C2" s="24" t="s">
        <v>119</v>
      </c>
      <c r="D2" s="24" t="s">
        <v>281</v>
      </c>
      <c r="E2" s="8" t="s">
        <v>137</v>
      </c>
      <c r="F2" s="8" t="s">
        <v>215</v>
      </c>
      <c r="G2" s="24" t="s">
        <v>143</v>
      </c>
      <c r="H2" s="24" t="s">
        <v>144</v>
      </c>
      <c r="I2" s="10">
        <v>89.833333333333329</v>
      </c>
      <c r="J2" s="10">
        <v>89.166666666666671</v>
      </c>
      <c r="K2" s="10">
        <v>89.5</v>
      </c>
      <c r="L2" s="10">
        <v>83.6</v>
      </c>
      <c r="M2" s="10">
        <v>86.5</v>
      </c>
      <c r="N2" s="10">
        <v>90.611666666666665</v>
      </c>
      <c r="O2" s="10">
        <v>87</v>
      </c>
      <c r="P2" s="10">
        <v>78.5</v>
      </c>
      <c r="Q2" s="10">
        <v>87</v>
      </c>
      <c r="R2" s="10">
        <v>86</v>
      </c>
      <c r="S2" s="10">
        <v>84.5</v>
      </c>
      <c r="T2" s="10">
        <v>91</v>
      </c>
      <c r="U2" s="10">
        <v>95</v>
      </c>
      <c r="V2" s="10">
        <v>93.375</v>
      </c>
      <c r="W2" s="10">
        <v>90.555555555555557</v>
      </c>
      <c r="X2" s="10">
        <v>88.142814814814813</v>
      </c>
      <c r="Y2" s="8">
        <v>1</v>
      </c>
    </row>
    <row r="3" spans="1:25" x14ac:dyDescent="0.25">
      <c r="A3" s="8">
        <v>2</v>
      </c>
      <c r="B3" s="24" t="s">
        <v>11</v>
      </c>
      <c r="C3" s="24" t="s">
        <v>38</v>
      </c>
      <c r="D3" s="24" t="s">
        <v>251</v>
      </c>
      <c r="E3" s="8" t="s">
        <v>64</v>
      </c>
      <c r="F3" s="8" t="s">
        <v>179</v>
      </c>
      <c r="G3" s="24" t="s">
        <v>87</v>
      </c>
      <c r="H3" s="24" t="s">
        <v>88</v>
      </c>
      <c r="I3" s="10">
        <v>88.166666666666671</v>
      </c>
      <c r="J3" s="10">
        <v>85.01</v>
      </c>
      <c r="K3" s="10">
        <v>88.333333333333329</v>
      </c>
      <c r="L3" s="10">
        <v>84</v>
      </c>
      <c r="M3" s="10">
        <v>86.5</v>
      </c>
      <c r="N3" s="10">
        <v>91.444999999999993</v>
      </c>
      <c r="O3" s="10">
        <v>85.5</v>
      </c>
      <c r="P3" s="10">
        <v>80</v>
      </c>
      <c r="Q3" s="10">
        <v>87.333333333333329</v>
      </c>
      <c r="R3" s="10">
        <v>84</v>
      </c>
      <c r="S3" s="10">
        <v>86.5</v>
      </c>
      <c r="T3" s="10">
        <v>90.5</v>
      </c>
      <c r="U3" s="10">
        <v>92</v>
      </c>
      <c r="V3" s="10">
        <v>90</v>
      </c>
      <c r="W3" s="10">
        <v>89.583333333333329</v>
      </c>
      <c r="X3" s="10">
        <v>87.258111111111106</v>
      </c>
      <c r="Y3" s="8">
        <v>2</v>
      </c>
    </row>
    <row r="4" spans="1:25" x14ac:dyDescent="0.25">
      <c r="A4" s="8">
        <v>3</v>
      </c>
      <c r="B4" s="24" t="s">
        <v>145</v>
      </c>
      <c r="C4" s="24" t="s">
        <v>149</v>
      </c>
      <c r="D4" s="24" t="s">
        <v>287</v>
      </c>
      <c r="E4" s="8" t="s">
        <v>153</v>
      </c>
      <c r="F4" s="8" t="s">
        <v>221</v>
      </c>
      <c r="G4" s="24" t="s">
        <v>157</v>
      </c>
      <c r="H4" s="24" t="s">
        <v>157</v>
      </c>
      <c r="I4" s="10">
        <v>88</v>
      </c>
      <c r="J4" s="10">
        <v>83.8</v>
      </c>
      <c r="K4" s="10">
        <v>87.8</v>
      </c>
      <c r="L4" s="10">
        <v>81.8</v>
      </c>
      <c r="M4" s="10">
        <v>84</v>
      </c>
      <c r="N4" s="10">
        <v>86.2</v>
      </c>
      <c r="O4" s="10">
        <v>85</v>
      </c>
      <c r="P4" s="10">
        <v>79.333333333333329</v>
      </c>
      <c r="Q4" s="10">
        <v>87</v>
      </c>
      <c r="R4" s="10">
        <v>79.5</v>
      </c>
      <c r="S4" s="10">
        <v>85</v>
      </c>
      <c r="T4" s="10">
        <v>87.5</v>
      </c>
      <c r="U4" s="10">
        <v>87.5</v>
      </c>
      <c r="V4" s="10">
        <v>89.625</v>
      </c>
      <c r="W4" s="10">
        <v>90.277777777777786</v>
      </c>
      <c r="X4" s="10">
        <v>85.489074074074082</v>
      </c>
      <c r="Y4" s="8">
        <v>3</v>
      </c>
    </row>
    <row r="5" spans="1:25" x14ac:dyDescent="0.25">
      <c r="A5" s="8">
        <v>4</v>
      </c>
      <c r="B5" s="24" t="s">
        <v>90</v>
      </c>
      <c r="C5" s="24" t="s">
        <v>107</v>
      </c>
      <c r="D5" s="24" t="s">
        <v>269</v>
      </c>
      <c r="E5" s="8" t="s">
        <v>125</v>
      </c>
      <c r="F5" s="8" t="s">
        <v>203</v>
      </c>
      <c r="G5" s="24" t="s">
        <v>143</v>
      </c>
      <c r="H5" s="24" t="s">
        <v>144</v>
      </c>
      <c r="I5" s="10">
        <v>86.333333333333329</v>
      </c>
      <c r="J5" s="10">
        <v>86.333333333333329</v>
      </c>
      <c r="K5" s="10">
        <v>89</v>
      </c>
      <c r="L5" s="10">
        <v>80.400000000000006</v>
      </c>
      <c r="M5" s="10">
        <v>85</v>
      </c>
      <c r="N5" s="10">
        <v>81.221666666666664</v>
      </c>
      <c r="O5" s="10">
        <v>83.5</v>
      </c>
      <c r="P5" s="10">
        <v>77.25</v>
      </c>
      <c r="Q5" s="10">
        <v>84.666666666666671</v>
      </c>
      <c r="R5" s="10">
        <v>85.5</v>
      </c>
      <c r="S5" s="10">
        <v>82.5</v>
      </c>
      <c r="T5" s="10">
        <v>90.5</v>
      </c>
      <c r="U5" s="10">
        <v>91</v>
      </c>
      <c r="V5" s="10">
        <v>86.625</v>
      </c>
      <c r="W5" s="10">
        <v>87.777777777777771</v>
      </c>
      <c r="X5" s="10">
        <v>85.17385185185185</v>
      </c>
      <c r="Y5" s="8">
        <v>4</v>
      </c>
    </row>
    <row r="6" spans="1:25" x14ac:dyDescent="0.25">
      <c r="A6" s="8">
        <v>5</v>
      </c>
      <c r="B6" s="24" t="s">
        <v>13</v>
      </c>
      <c r="C6" s="24" t="s">
        <v>40</v>
      </c>
      <c r="D6" s="24" t="s">
        <v>253</v>
      </c>
      <c r="E6" s="8" t="s">
        <v>66</v>
      </c>
      <c r="F6" s="8" t="s">
        <v>181</v>
      </c>
      <c r="G6" s="24" t="s">
        <v>87</v>
      </c>
      <c r="H6" s="24" t="s">
        <v>88</v>
      </c>
      <c r="I6" s="10">
        <v>89.833333333333329</v>
      </c>
      <c r="J6" s="10">
        <v>87</v>
      </c>
      <c r="K6" s="10">
        <v>88</v>
      </c>
      <c r="L6" s="10">
        <v>80.400000000000006</v>
      </c>
      <c r="M6" s="10">
        <v>83.5</v>
      </c>
      <c r="N6" s="10">
        <v>84.554999999999993</v>
      </c>
      <c r="O6" s="10">
        <v>82</v>
      </c>
      <c r="P6" s="10">
        <v>77.75</v>
      </c>
      <c r="Q6" s="10">
        <v>86</v>
      </c>
      <c r="R6" s="10">
        <v>81</v>
      </c>
      <c r="S6" s="10">
        <v>82.5</v>
      </c>
      <c r="T6" s="10">
        <v>90.5</v>
      </c>
      <c r="U6" s="10">
        <v>86.5</v>
      </c>
      <c r="V6" s="10">
        <v>87.4</v>
      </c>
      <c r="W6" s="10">
        <v>90.416666666666657</v>
      </c>
      <c r="X6" s="10">
        <v>85.157000000000011</v>
      </c>
      <c r="Y6" s="8">
        <v>5</v>
      </c>
    </row>
    <row r="7" spans="1:25" x14ac:dyDescent="0.25">
      <c r="A7" s="21">
        <v>6</v>
      </c>
      <c r="B7" s="23" t="s">
        <v>104</v>
      </c>
      <c r="C7" s="23" t="s">
        <v>47</v>
      </c>
      <c r="D7" s="23" t="s">
        <v>284</v>
      </c>
      <c r="E7" s="21" t="s">
        <v>140</v>
      </c>
      <c r="F7" s="21" t="s">
        <v>218</v>
      </c>
      <c r="G7" s="23" t="s">
        <v>143</v>
      </c>
      <c r="H7" s="23" t="s">
        <v>144</v>
      </c>
      <c r="I7" s="22">
        <v>87</v>
      </c>
      <c r="J7" s="22">
        <v>84.833333333333329</v>
      </c>
      <c r="K7" s="22">
        <v>85</v>
      </c>
      <c r="L7" s="22">
        <v>78.8</v>
      </c>
      <c r="M7" s="22">
        <v>82</v>
      </c>
      <c r="N7" s="22">
        <v>82.554999999999993</v>
      </c>
      <c r="O7" s="22">
        <v>85.5</v>
      </c>
      <c r="P7" s="22">
        <v>77.75</v>
      </c>
      <c r="Q7" s="22">
        <v>86</v>
      </c>
      <c r="R7" s="22">
        <v>83.5</v>
      </c>
      <c r="S7" s="22">
        <v>81.5</v>
      </c>
      <c r="T7" s="22">
        <v>90</v>
      </c>
      <c r="U7" s="22">
        <v>91</v>
      </c>
      <c r="V7" s="22">
        <v>89.125</v>
      </c>
      <c r="W7" s="22">
        <v>88.777777777777771</v>
      </c>
      <c r="X7" s="22">
        <v>84.889407407407404</v>
      </c>
      <c r="Y7" s="21">
        <v>6</v>
      </c>
    </row>
    <row r="8" spans="1:25" x14ac:dyDescent="0.25">
      <c r="A8" s="21">
        <v>7</v>
      </c>
      <c r="B8" s="23" t="s">
        <v>17</v>
      </c>
      <c r="C8" s="23" t="s">
        <v>44</v>
      </c>
      <c r="D8" s="23" t="s">
        <v>257</v>
      </c>
      <c r="E8" s="21" t="s">
        <v>70</v>
      </c>
      <c r="F8" s="21" t="s">
        <v>185</v>
      </c>
      <c r="G8" s="23" t="s">
        <v>87</v>
      </c>
      <c r="H8" s="23" t="s">
        <v>88</v>
      </c>
      <c r="I8" s="22">
        <v>85.833333333333329</v>
      </c>
      <c r="J8" s="22">
        <v>85.166666666666671</v>
      </c>
      <c r="K8" s="22">
        <v>87</v>
      </c>
      <c r="L8" s="22">
        <v>77.2</v>
      </c>
      <c r="M8" s="22">
        <v>81.5</v>
      </c>
      <c r="N8" s="22">
        <v>82</v>
      </c>
      <c r="O8" s="22">
        <v>86.5</v>
      </c>
      <c r="P8" s="22">
        <v>79</v>
      </c>
      <c r="Q8" s="22">
        <v>86.666666666666671</v>
      </c>
      <c r="R8" s="22">
        <v>82.5</v>
      </c>
      <c r="S8" s="22">
        <v>81</v>
      </c>
      <c r="T8" s="22">
        <v>88.5</v>
      </c>
      <c r="U8" s="22">
        <v>86</v>
      </c>
      <c r="V8" s="22">
        <v>89</v>
      </c>
      <c r="W8" s="22">
        <v>88.75</v>
      </c>
      <c r="X8" s="22">
        <v>84.441111111111113</v>
      </c>
      <c r="Y8" s="21">
        <v>7</v>
      </c>
    </row>
    <row r="9" spans="1:25" x14ac:dyDescent="0.25">
      <c r="A9" s="21">
        <v>8</v>
      </c>
      <c r="B9" s="23" t="s">
        <v>14</v>
      </c>
      <c r="C9" s="23" t="s">
        <v>41</v>
      </c>
      <c r="D9" s="23" t="s">
        <v>254</v>
      </c>
      <c r="E9" s="21" t="s">
        <v>67</v>
      </c>
      <c r="F9" s="21" t="s">
        <v>182</v>
      </c>
      <c r="G9" s="23" t="s">
        <v>87</v>
      </c>
      <c r="H9" s="23" t="s">
        <v>88</v>
      </c>
      <c r="I9" s="22">
        <v>85.333333333333329</v>
      </c>
      <c r="J9" s="22">
        <v>84.666666666666671</v>
      </c>
      <c r="K9" s="22">
        <v>88.166666666666671</v>
      </c>
      <c r="L9" s="22">
        <v>81.599999999999994</v>
      </c>
      <c r="M9" s="22">
        <v>84.5</v>
      </c>
      <c r="N9" s="22">
        <v>82.611666666666665</v>
      </c>
      <c r="O9" s="22">
        <v>83</v>
      </c>
      <c r="P9" s="22">
        <v>78</v>
      </c>
      <c r="Q9" s="22">
        <v>86</v>
      </c>
      <c r="R9" s="22">
        <v>83</v>
      </c>
      <c r="S9" s="22">
        <v>83.5</v>
      </c>
      <c r="T9" s="22">
        <v>86</v>
      </c>
      <c r="U9" s="22">
        <v>86</v>
      </c>
      <c r="V9" s="22">
        <v>87.9</v>
      </c>
      <c r="W9" s="22">
        <v>86.25</v>
      </c>
      <c r="X9" s="22">
        <v>84.435222222222222</v>
      </c>
      <c r="Y9" s="21">
        <v>8</v>
      </c>
    </row>
    <row r="10" spans="1:25" x14ac:dyDescent="0.25">
      <c r="A10" s="21">
        <v>9</v>
      </c>
      <c r="B10" s="23" t="s">
        <v>12</v>
      </c>
      <c r="C10" s="23" t="s">
        <v>39</v>
      </c>
      <c r="D10" s="23" t="s">
        <v>252</v>
      </c>
      <c r="E10" s="21" t="s">
        <v>65</v>
      </c>
      <c r="F10" s="21" t="s">
        <v>180</v>
      </c>
      <c r="G10" s="23" t="s">
        <v>87</v>
      </c>
      <c r="H10" s="23" t="s">
        <v>88</v>
      </c>
      <c r="I10" s="22">
        <v>88.5</v>
      </c>
      <c r="J10" s="22">
        <v>85</v>
      </c>
      <c r="K10" s="22">
        <v>88.166666666666671</v>
      </c>
      <c r="L10" s="22">
        <v>81.599999999999994</v>
      </c>
      <c r="M10" s="22">
        <v>83.5</v>
      </c>
      <c r="N10" s="22">
        <v>84.054999999999993</v>
      </c>
      <c r="O10" s="22">
        <v>85.5</v>
      </c>
      <c r="P10" s="22">
        <v>78.75</v>
      </c>
      <c r="Q10" s="22">
        <v>85</v>
      </c>
      <c r="R10" s="22">
        <v>83</v>
      </c>
      <c r="S10" s="22">
        <v>81</v>
      </c>
      <c r="T10" s="22">
        <v>84.5</v>
      </c>
      <c r="U10" s="22">
        <v>81</v>
      </c>
      <c r="V10" s="22">
        <v>85.7</v>
      </c>
      <c r="W10" s="22">
        <v>88.916666666666657</v>
      </c>
      <c r="X10" s="22">
        <v>84.279222222222231</v>
      </c>
      <c r="Y10" s="21">
        <v>9</v>
      </c>
    </row>
    <row r="11" spans="1:25" x14ac:dyDescent="0.25">
      <c r="A11" s="21">
        <v>10</v>
      </c>
      <c r="B11" s="23" t="s">
        <v>100</v>
      </c>
      <c r="C11" s="23" t="s">
        <v>118</v>
      </c>
      <c r="D11" s="23" t="s">
        <v>280</v>
      </c>
      <c r="E11" s="21" t="s">
        <v>136</v>
      </c>
      <c r="F11" s="21" t="s">
        <v>214</v>
      </c>
      <c r="G11" s="23" t="s">
        <v>143</v>
      </c>
      <c r="H11" s="23" t="s">
        <v>144</v>
      </c>
      <c r="I11" s="22">
        <v>85.333333333333329</v>
      </c>
      <c r="J11" s="22">
        <v>85.166666666666671</v>
      </c>
      <c r="K11" s="22">
        <v>85.833333333333329</v>
      </c>
      <c r="L11" s="22">
        <v>77.8</v>
      </c>
      <c r="M11" s="22">
        <v>83.5</v>
      </c>
      <c r="N11" s="22">
        <v>83.445000000000007</v>
      </c>
      <c r="O11" s="22">
        <v>82</v>
      </c>
      <c r="P11" s="22">
        <v>77.75</v>
      </c>
      <c r="Q11" s="22">
        <v>84.666666666666671</v>
      </c>
      <c r="R11" s="22">
        <v>82</v>
      </c>
      <c r="S11" s="22">
        <v>83.5</v>
      </c>
      <c r="T11" s="22">
        <v>87.5</v>
      </c>
      <c r="U11" s="22">
        <v>86.5</v>
      </c>
      <c r="V11" s="22">
        <v>85.125</v>
      </c>
      <c r="W11" s="22">
        <v>86.277777777777771</v>
      </c>
      <c r="X11" s="22">
        <v>83.759851851851849</v>
      </c>
      <c r="Y11" s="21">
        <v>10</v>
      </c>
    </row>
    <row r="12" spans="1:25" x14ac:dyDescent="0.25">
      <c r="A12" s="21">
        <v>11</v>
      </c>
      <c r="B12" s="23" t="s">
        <v>95</v>
      </c>
      <c r="C12" s="23" t="s">
        <v>113</v>
      </c>
      <c r="D12" s="23" t="s">
        <v>275</v>
      </c>
      <c r="E12" s="21" t="s">
        <v>131</v>
      </c>
      <c r="F12" s="21" t="s">
        <v>209</v>
      </c>
      <c r="G12" s="23" t="s">
        <v>143</v>
      </c>
      <c r="H12" s="23" t="s">
        <v>144</v>
      </c>
      <c r="I12" s="22">
        <v>85.333333333333329</v>
      </c>
      <c r="J12" s="22">
        <v>84.666666666666671</v>
      </c>
      <c r="K12" s="22">
        <v>85.833333333333329</v>
      </c>
      <c r="L12" s="22">
        <v>79.8</v>
      </c>
      <c r="M12" s="22">
        <v>85</v>
      </c>
      <c r="N12" s="22">
        <v>81.721666666666664</v>
      </c>
      <c r="O12" s="22">
        <v>86</v>
      </c>
      <c r="P12" s="22">
        <v>76.75</v>
      </c>
      <c r="Q12" s="22">
        <v>85.333333333333329</v>
      </c>
      <c r="R12" s="22">
        <v>83</v>
      </c>
      <c r="S12" s="22">
        <v>82.5</v>
      </c>
      <c r="T12" s="22">
        <v>83</v>
      </c>
      <c r="U12" s="22">
        <v>82</v>
      </c>
      <c r="V12" s="22">
        <v>86.25</v>
      </c>
      <c r="W12" s="22">
        <v>85.277777777777786</v>
      </c>
      <c r="X12" s="22">
        <v>83.497740740740753</v>
      </c>
      <c r="Y12" s="21">
        <v>11</v>
      </c>
    </row>
    <row r="13" spans="1:25" x14ac:dyDescent="0.25">
      <c r="A13" s="21">
        <v>12</v>
      </c>
      <c r="B13" s="23" t="s">
        <v>33</v>
      </c>
      <c r="C13" s="23" t="s">
        <v>59</v>
      </c>
      <c r="D13" s="23" t="s">
        <v>298</v>
      </c>
      <c r="E13" s="21" t="s">
        <v>86</v>
      </c>
      <c r="F13" s="21" t="s">
        <v>201</v>
      </c>
      <c r="G13" s="23" t="s">
        <v>87</v>
      </c>
      <c r="H13" s="23" t="s">
        <v>88</v>
      </c>
      <c r="I13" s="22">
        <v>84.5</v>
      </c>
      <c r="J13" s="22">
        <v>84.5</v>
      </c>
      <c r="K13" s="22">
        <v>86.666666666666671</v>
      </c>
      <c r="L13" s="22">
        <v>82.8</v>
      </c>
      <c r="M13" s="22">
        <v>79.5</v>
      </c>
      <c r="N13" s="22">
        <v>83.721666666666664</v>
      </c>
      <c r="O13" s="22">
        <v>85.5</v>
      </c>
      <c r="P13" s="22">
        <v>81</v>
      </c>
      <c r="Q13" s="22">
        <v>84</v>
      </c>
      <c r="R13" s="22">
        <v>82</v>
      </c>
      <c r="S13" s="22">
        <v>82</v>
      </c>
      <c r="T13" s="22">
        <v>83.5</v>
      </c>
      <c r="U13" s="22">
        <v>80</v>
      </c>
      <c r="V13" s="22">
        <v>83.4</v>
      </c>
      <c r="W13" s="22">
        <v>86.5</v>
      </c>
      <c r="X13" s="22">
        <v>83.305888888888902</v>
      </c>
      <c r="Y13" s="21">
        <v>12</v>
      </c>
    </row>
    <row r="14" spans="1:25" x14ac:dyDescent="0.25">
      <c r="A14" s="21">
        <v>13</v>
      </c>
      <c r="B14" s="23" t="s">
        <v>102</v>
      </c>
      <c r="C14" s="23" t="s">
        <v>120</v>
      </c>
      <c r="D14" s="23" t="s">
        <v>282</v>
      </c>
      <c r="E14" s="21" t="s">
        <v>138</v>
      </c>
      <c r="F14" s="21" t="s">
        <v>216</v>
      </c>
      <c r="G14" s="23" t="s">
        <v>143</v>
      </c>
      <c r="H14" s="23" t="s">
        <v>144</v>
      </c>
      <c r="I14" s="22">
        <v>84</v>
      </c>
      <c r="J14" s="22">
        <v>84.5</v>
      </c>
      <c r="K14" s="22">
        <v>84.666666666666671</v>
      </c>
      <c r="L14" s="22">
        <v>78.400000000000006</v>
      </c>
      <c r="M14" s="22">
        <v>81.5</v>
      </c>
      <c r="N14" s="22">
        <v>83.333333333333329</v>
      </c>
      <c r="O14" s="22">
        <v>80.5</v>
      </c>
      <c r="P14" s="22">
        <v>77.25</v>
      </c>
      <c r="Q14" s="22">
        <v>84</v>
      </c>
      <c r="R14" s="22">
        <v>81</v>
      </c>
      <c r="S14" s="22">
        <v>81</v>
      </c>
      <c r="T14" s="22">
        <v>88</v>
      </c>
      <c r="U14" s="22">
        <v>88.5</v>
      </c>
      <c r="V14" s="22">
        <v>86.5</v>
      </c>
      <c r="W14" s="22">
        <v>85.666666666666671</v>
      </c>
      <c r="X14" s="22">
        <v>83.254444444444459</v>
      </c>
      <c r="Y14" s="21">
        <v>13</v>
      </c>
    </row>
    <row r="15" spans="1:25" x14ac:dyDescent="0.25">
      <c r="A15" s="21">
        <v>14</v>
      </c>
      <c r="B15" s="23" t="s">
        <v>94</v>
      </c>
      <c r="C15" s="23" t="s">
        <v>112</v>
      </c>
      <c r="D15" s="23" t="s">
        <v>274</v>
      </c>
      <c r="E15" s="21" t="s">
        <v>130</v>
      </c>
      <c r="F15" s="21" t="s">
        <v>208</v>
      </c>
      <c r="G15" s="23" t="s">
        <v>143</v>
      </c>
      <c r="H15" s="23" t="s">
        <v>144</v>
      </c>
      <c r="I15" s="22">
        <v>85.333333333333329</v>
      </c>
      <c r="J15" s="22">
        <v>82.333333333333329</v>
      </c>
      <c r="K15" s="22">
        <v>85.833333333333329</v>
      </c>
      <c r="L15" s="22">
        <v>79.400000000000006</v>
      </c>
      <c r="M15" s="22">
        <v>84</v>
      </c>
      <c r="N15" s="22">
        <v>83.054999999999993</v>
      </c>
      <c r="O15" s="22">
        <v>82.5</v>
      </c>
      <c r="P15" s="22">
        <v>80.75</v>
      </c>
      <c r="Q15" s="22">
        <v>84</v>
      </c>
      <c r="R15" s="22">
        <v>82.5</v>
      </c>
      <c r="S15" s="22">
        <v>82</v>
      </c>
      <c r="T15" s="22">
        <v>84.5</v>
      </c>
      <c r="U15" s="22">
        <v>82.5</v>
      </c>
      <c r="V15" s="22">
        <v>84.625</v>
      </c>
      <c r="W15" s="22">
        <v>83.555555555555557</v>
      </c>
      <c r="X15" s="22">
        <v>83.125703703703707</v>
      </c>
      <c r="Y15" s="21">
        <v>14</v>
      </c>
    </row>
    <row r="16" spans="1:25" x14ac:dyDescent="0.25">
      <c r="A16" s="21">
        <v>15</v>
      </c>
      <c r="B16" s="23" t="s">
        <v>97</v>
      </c>
      <c r="C16" s="23" t="s">
        <v>115</v>
      </c>
      <c r="D16" s="23" t="s">
        <v>277</v>
      </c>
      <c r="E16" s="21" t="s">
        <v>133</v>
      </c>
      <c r="F16" s="21" t="s">
        <v>211</v>
      </c>
      <c r="G16" s="23" t="s">
        <v>143</v>
      </c>
      <c r="H16" s="23" t="s">
        <v>144</v>
      </c>
      <c r="I16" s="22">
        <v>83.833333333333329</v>
      </c>
      <c r="J16" s="22">
        <v>84.333333333333329</v>
      </c>
      <c r="K16" s="22">
        <v>84.333333333333329</v>
      </c>
      <c r="L16" s="22">
        <v>79.2</v>
      </c>
      <c r="M16" s="22">
        <v>82</v>
      </c>
      <c r="N16" s="22">
        <v>81.554999999999993</v>
      </c>
      <c r="O16" s="22">
        <v>80</v>
      </c>
      <c r="P16" s="22">
        <v>80.75</v>
      </c>
      <c r="Q16" s="22">
        <v>85</v>
      </c>
      <c r="R16" s="22">
        <v>81.5</v>
      </c>
      <c r="S16" s="22">
        <v>81</v>
      </c>
      <c r="T16" s="22">
        <v>87.5</v>
      </c>
      <c r="U16" s="22">
        <v>84.5</v>
      </c>
      <c r="V16" s="22">
        <v>84.625</v>
      </c>
      <c r="W16" s="22">
        <v>85.8888888888889</v>
      </c>
      <c r="X16" s="22">
        <v>83.067925925925934</v>
      </c>
      <c r="Y16" s="21">
        <v>15</v>
      </c>
    </row>
    <row r="17" spans="1:25" x14ac:dyDescent="0.25">
      <c r="A17" s="21">
        <v>16</v>
      </c>
      <c r="B17" s="23" t="s">
        <v>31</v>
      </c>
      <c r="C17" s="23" t="s">
        <v>57</v>
      </c>
      <c r="D17" s="23" t="s">
        <v>265</v>
      </c>
      <c r="E17" s="21" t="s">
        <v>84</v>
      </c>
      <c r="F17" s="21" t="s">
        <v>199</v>
      </c>
      <c r="G17" s="23" t="s">
        <v>87</v>
      </c>
      <c r="H17" s="23" t="s">
        <v>88</v>
      </c>
      <c r="I17" s="22">
        <v>85.666666666666671</v>
      </c>
      <c r="J17" s="22">
        <v>80.333333333333329</v>
      </c>
      <c r="K17" s="22">
        <v>86.666666666666671</v>
      </c>
      <c r="L17" s="22">
        <v>81</v>
      </c>
      <c r="M17" s="22">
        <v>82</v>
      </c>
      <c r="N17" s="22">
        <v>81.5</v>
      </c>
      <c r="O17" s="22">
        <v>86</v>
      </c>
      <c r="P17" s="22">
        <v>78.5</v>
      </c>
      <c r="Q17" s="22">
        <v>86</v>
      </c>
      <c r="R17" s="22">
        <v>80.5</v>
      </c>
      <c r="S17" s="22">
        <v>82.5</v>
      </c>
      <c r="T17" s="22">
        <v>84</v>
      </c>
      <c r="U17" s="22">
        <v>78.5</v>
      </c>
      <c r="V17" s="22">
        <v>85.2</v>
      </c>
      <c r="W17" s="22">
        <v>87.25</v>
      </c>
      <c r="X17" s="22">
        <v>83.041111111111121</v>
      </c>
      <c r="Y17" s="21">
        <v>16</v>
      </c>
    </row>
    <row r="18" spans="1:25" x14ac:dyDescent="0.25">
      <c r="A18" s="21">
        <v>17</v>
      </c>
      <c r="B18" s="23" t="s">
        <v>29</v>
      </c>
      <c r="C18" s="23" t="s">
        <v>55</v>
      </c>
      <c r="D18" s="23" t="s">
        <v>296</v>
      </c>
      <c r="E18" s="21" t="s">
        <v>82</v>
      </c>
      <c r="F18" s="21" t="s">
        <v>197</v>
      </c>
      <c r="G18" s="23" t="s">
        <v>87</v>
      </c>
      <c r="H18" s="23" t="s">
        <v>88</v>
      </c>
      <c r="I18" s="22">
        <v>83.333333333333329</v>
      </c>
      <c r="J18" s="22">
        <v>84.166666666666671</v>
      </c>
      <c r="K18" s="22">
        <v>84</v>
      </c>
      <c r="L18" s="22">
        <v>80.599999999999994</v>
      </c>
      <c r="M18" s="22">
        <v>81</v>
      </c>
      <c r="N18" s="22">
        <v>81.221666666666664</v>
      </c>
      <c r="O18" s="22">
        <v>84.5</v>
      </c>
      <c r="P18" s="22">
        <v>78</v>
      </c>
      <c r="Q18" s="22">
        <v>85</v>
      </c>
      <c r="R18" s="22">
        <v>82</v>
      </c>
      <c r="S18" s="22">
        <v>81</v>
      </c>
      <c r="T18" s="22">
        <v>87</v>
      </c>
      <c r="U18" s="22">
        <v>78</v>
      </c>
      <c r="V18" s="22">
        <v>84.3</v>
      </c>
      <c r="W18" s="22">
        <v>89.083333333333329</v>
      </c>
      <c r="X18" s="22">
        <v>82.880333333333326</v>
      </c>
      <c r="Y18" s="21">
        <v>17</v>
      </c>
    </row>
    <row r="19" spans="1:25" x14ac:dyDescent="0.25">
      <c r="A19" s="21">
        <v>18</v>
      </c>
      <c r="B19" s="23" t="s">
        <v>99</v>
      </c>
      <c r="C19" s="23" t="s">
        <v>117</v>
      </c>
      <c r="D19" s="23" t="s">
        <v>279</v>
      </c>
      <c r="E19" s="21" t="s">
        <v>135</v>
      </c>
      <c r="F19" s="21" t="s">
        <v>213</v>
      </c>
      <c r="G19" s="23" t="s">
        <v>143</v>
      </c>
      <c r="H19" s="23" t="s">
        <v>144</v>
      </c>
      <c r="I19" s="22">
        <v>83.5</v>
      </c>
      <c r="J19" s="22">
        <v>82.5</v>
      </c>
      <c r="K19" s="22">
        <v>84.833333333333329</v>
      </c>
      <c r="L19" s="22">
        <v>80.599999999999994</v>
      </c>
      <c r="M19" s="22">
        <v>84</v>
      </c>
      <c r="N19" s="22">
        <v>80.166666666666671</v>
      </c>
      <c r="O19" s="22">
        <v>83</v>
      </c>
      <c r="P19" s="22">
        <v>77.75</v>
      </c>
      <c r="Q19" s="22">
        <v>82.666666666666671</v>
      </c>
      <c r="R19" s="22">
        <v>82.5</v>
      </c>
      <c r="S19" s="22">
        <v>81</v>
      </c>
      <c r="T19" s="22">
        <v>87.5</v>
      </c>
      <c r="U19" s="22">
        <v>86</v>
      </c>
      <c r="V19" s="22">
        <v>82.625</v>
      </c>
      <c r="W19" s="22">
        <v>83.944444444444443</v>
      </c>
      <c r="X19" s="22">
        <v>82.839074074074048</v>
      </c>
      <c r="Y19" s="21">
        <v>18</v>
      </c>
    </row>
    <row r="20" spans="1:25" x14ac:dyDescent="0.25">
      <c r="A20" s="21">
        <v>19</v>
      </c>
      <c r="B20" s="23" t="s">
        <v>32</v>
      </c>
      <c r="C20" s="23" t="s">
        <v>58</v>
      </c>
      <c r="D20" s="23" t="s">
        <v>266</v>
      </c>
      <c r="E20" s="21" t="s">
        <v>85</v>
      </c>
      <c r="F20" s="21" t="s">
        <v>200</v>
      </c>
      <c r="G20" s="23" t="s">
        <v>87</v>
      </c>
      <c r="H20" s="23" t="s">
        <v>88</v>
      </c>
      <c r="I20" s="22">
        <v>87</v>
      </c>
      <c r="J20" s="22">
        <v>84.166666666666671</v>
      </c>
      <c r="K20" s="22">
        <v>86.5</v>
      </c>
      <c r="L20" s="22">
        <v>77.2</v>
      </c>
      <c r="M20" s="22">
        <v>80.5</v>
      </c>
      <c r="N20" s="22">
        <v>79.666666666666671</v>
      </c>
      <c r="O20" s="22">
        <v>81.5</v>
      </c>
      <c r="P20" s="22">
        <v>77</v>
      </c>
      <c r="Q20" s="22">
        <v>85.666666666666671</v>
      </c>
      <c r="R20" s="22">
        <v>79</v>
      </c>
      <c r="S20" s="22">
        <v>81.5</v>
      </c>
      <c r="T20" s="22">
        <v>85</v>
      </c>
      <c r="U20" s="22">
        <v>85.5</v>
      </c>
      <c r="V20" s="22">
        <v>84.2</v>
      </c>
      <c r="W20" s="22">
        <v>87.833333333333343</v>
      </c>
      <c r="X20" s="22">
        <v>82.815555555555548</v>
      </c>
      <c r="Y20" s="21">
        <v>19</v>
      </c>
    </row>
    <row r="21" spans="1:25" x14ac:dyDescent="0.25">
      <c r="A21" s="21">
        <v>20</v>
      </c>
      <c r="B21" s="23" t="s">
        <v>23</v>
      </c>
      <c r="C21" s="23" t="s">
        <v>49</v>
      </c>
      <c r="D21" s="23" t="s">
        <v>261</v>
      </c>
      <c r="E21" s="21" t="s">
        <v>76</v>
      </c>
      <c r="F21" s="21" t="s">
        <v>191</v>
      </c>
      <c r="G21" s="23" t="s">
        <v>87</v>
      </c>
      <c r="H21" s="23" t="s">
        <v>88</v>
      </c>
      <c r="I21" s="22">
        <v>85.5</v>
      </c>
      <c r="J21" s="22">
        <v>83.646666666666661</v>
      </c>
      <c r="K21" s="22">
        <v>83.333333333333329</v>
      </c>
      <c r="L21" s="22">
        <v>77.8</v>
      </c>
      <c r="M21" s="22">
        <v>82</v>
      </c>
      <c r="N21" s="22">
        <v>79.888333333333335</v>
      </c>
      <c r="O21" s="22">
        <v>84.5</v>
      </c>
      <c r="P21" s="22">
        <v>77.75</v>
      </c>
      <c r="Q21" s="22">
        <v>86</v>
      </c>
      <c r="R21" s="22">
        <v>82</v>
      </c>
      <c r="S21" s="22">
        <v>81</v>
      </c>
      <c r="T21" s="22">
        <v>85</v>
      </c>
      <c r="U21" s="22">
        <v>80</v>
      </c>
      <c r="V21" s="22">
        <v>83.6</v>
      </c>
      <c r="W21" s="22">
        <v>86.333333333333343</v>
      </c>
      <c r="X21" s="22">
        <v>82.556777777777768</v>
      </c>
      <c r="Y21" s="21">
        <v>20</v>
      </c>
    </row>
    <row r="22" spans="1:25" x14ac:dyDescent="0.25">
      <c r="A22" s="21">
        <v>21</v>
      </c>
      <c r="B22" s="23" t="s">
        <v>22</v>
      </c>
      <c r="C22" s="23" t="s">
        <v>48</v>
      </c>
      <c r="D22" s="23" t="s">
        <v>260</v>
      </c>
      <c r="E22" s="21" t="s">
        <v>75</v>
      </c>
      <c r="F22" s="21" t="s">
        <v>190</v>
      </c>
      <c r="G22" s="23" t="s">
        <v>87</v>
      </c>
      <c r="H22" s="23" t="s">
        <v>88</v>
      </c>
      <c r="I22" s="22">
        <v>84.333333333333329</v>
      </c>
      <c r="J22" s="22">
        <v>82.166666666666671</v>
      </c>
      <c r="K22" s="22">
        <v>85.166666666666671</v>
      </c>
      <c r="L22" s="22">
        <v>80.2</v>
      </c>
      <c r="M22" s="22">
        <v>82</v>
      </c>
      <c r="N22" s="22">
        <v>81.388333333333335</v>
      </c>
      <c r="O22" s="22">
        <v>84</v>
      </c>
      <c r="P22" s="22">
        <v>77.5</v>
      </c>
      <c r="Q22" s="22">
        <v>85</v>
      </c>
      <c r="R22" s="22">
        <v>80.5</v>
      </c>
      <c r="S22" s="22">
        <v>81</v>
      </c>
      <c r="T22" s="22">
        <v>80.5</v>
      </c>
      <c r="U22" s="22">
        <v>74.5</v>
      </c>
      <c r="V22" s="22">
        <v>82.7</v>
      </c>
      <c r="W22" s="22">
        <v>85.5</v>
      </c>
      <c r="X22" s="22">
        <v>81.76366666666668</v>
      </c>
      <c r="Y22" s="21">
        <v>21</v>
      </c>
    </row>
    <row r="23" spans="1:25" x14ac:dyDescent="0.25">
      <c r="A23" s="21">
        <v>22</v>
      </c>
      <c r="B23" s="23" t="s">
        <v>15</v>
      </c>
      <c r="C23" s="23" t="s">
        <v>42</v>
      </c>
      <c r="D23" s="23" t="s">
        <v>255</v>
      </c>
      <c r="E23" s="21" t="s">
        <v>68</v>
      </c>
      <c r="F23" s="21" t="s">
        <v>183</v>
      </c>
      <c r="G23" s="23" t="s">
        <v>87</v>
      </c>
      <c r="H23" s="23" t="s">
        <v>88</v>
      </c>
      <c r="I23" s="22">
        <v>84</v>
      </c>
      <c r="J23" s="22">
        <v>82.5</v>
      </c>
      <c r="K23" s="22">
        <v>85.833333333333329</v>
      </c>
      <c r="L23" s="22">
        <v>81</v>
      </c>
      <c r="M23" s="22">
        <v>83.5</v>
      </c>
      <c r="N23" s="22">
        <v>80.833333333333329</v>
      </c>
      <c r="O23" s="22">
        <v>84</v>
      </c>
      <c r="P23" s="22">
        <v>79</v>
      </c>
      <c r="Q23" s="22">
        <v>82</v>
      </c>
      <c r="R23" s="22">
        <v>79.5</v>
      </c>
      <c r="S23" s="22">
        <v>78.5</v>
      </c>
      <c r="T23" s="22">
        <v>80.5</v>
      </c>
      <c r="U23" s="22">
        <v>75.5</v>
      </c>
      <c r="V23" s="22">
        <v>83.4</v>
      </c>
      <c r="W23" s="22">
        <v>85.916666666666657</v>
      </c>
      <c r="X23" s="22">
        <v>81.732222222222219</v>
      </c>
      <c r="Y23" s="21">
        <v>22</v>
      </c>
    </row>
    <row r="24" spans="1:25" x14ac:dyDescent="0.25">
      <c r="A24" s="21">
        <v>23</v>
      </c>
      <c r="B24" s="23" t="s">
        <v>24</v>
      </c>
      <c r="C24" s="23" t="s">
        <v>50</v>
      </c>
      <c r="D24" s="23" t="s">
        <v>294</v>
      </c>
      <c r="E24" s="21" t="s">
        <v>77</v>
      </c>
      <c r="F24" s="21" t="s">
        <v>192</v>
      </c>
      <c r="G24" s="23" t="s">
        <v>87</v>
      </c>
      <c r="H24" s="23" t="s">
        <v>88</v>
      </c>
      <c r="I24" s="22">
        <v>86</v>
      </c>
      <c r="J24" s="22">
        <v>82.125</v>
      </c>
      <c r="K24" s="22">
        <v>85</v>
      </c>
      <c r="L24" s="22">
        <v>77.2</v>
      </c>
      <c r="M24" s="22">
        <v>82</v>
      </c>
      <c r="N24" s="22">
        <v>79.554999999999993</v>
      </c>
      <c r="O24" s="22">
        <v>82.5</v>
      </c>
      <c r="P24" s="22">
        <v>80.25</v>
      </c>
      <c r="Q24" s="22">
        <v>86.333333333333329</v>
      </c>
      <c r="R24" s="22">
        <v>79</v>
      </c>
      <c r="S24" s="22">
        <v>81</v>
      </c>
      <c r="T24" s="22">
        <v>78</v>
      </c>
      <c r="U24" s="22">
        <v>75.5</v>
      </c>
      <c r="V24" s="22">
        <v>82.9</v>
      </c>
      <c r="W24" s="22">
        <v>84.75</v>
      </c>
      <c r="X24" s="22">
        <v>81.474222222222224</v>
      </c>
      <c r="Y24" s="21">
        <v>23</v>
      </c>
    </row>
    <row r="25" spans="1:25" x14ac:dyDescent="0.25">
      <c r="A25" s="21">
        <v>24</v>
      </c>
      <c r="B25" s="23" t="s">
        <v>267</v>
      </c>
      <c r="C25" s="23" t="s">
        <v>122</v>
      </c>
      <c r="D25" s="23" t="s">
        <v>285</v>
      </c>
      <c r="E25" s="21" t="s">
        <v>141</v>
      </c>
      <c r="F25" s="21" t="s">
        <v>219</v>
      </c>
      <c r="G25" s="23" t="s">
        <v>143</v>
      </c>
      <c r="H25" s="23" t="s">
        <v>144</v>
      </c>
      <c r="I25" s="22">
        <v>83.5</v>
      </c>
      <c r="J25" s="22">
        <v>82.5</v>
      </c>
      <c r="K25" s="22">
        <v>85.333333333333329</v>
      </c>
      <c r="L25" s="22">
        <v>77.400000000000006</v>
      </c>
      <c r="M25" s="22">
        <v>80.5</v>
      </c>
      <c r="N25" s="22">
        <v>80.721666666666664</v>
      </c>
      <c r="O25" s="22">
        <v>81.5</v>
      </c>
      <c r="P25" s="22">
        <v>77</v>
      </c>
      <c r="Q25" s="22">
        <v>85</v>
      </c>
      <c r="R25" s="22">
        <v>80.5</v>
      </c>
      <c r="S25" s="22">
        <v>80.5</v>
      </c>
      <c r="T25" s="22">
        <v>82</v>
      </c>
      <c r="U25" s="22">
        <v>78.5</v>
      </c>
      <c r="V25" s="22">
        <v>81.375</v>
      </c>
      <c r="W25" s="22">
        <v>85.444444444444443</v>
      </c>
      <c r="X25" s="22">
        <v>81.451629629629622</v>
      </c>
      <c r="Y25" s="21">
        <v>24</v>
      </c>
    </row>
    <row r="26" spans="1:25" x14ac:dyDescent="0.25">
      <c r="A26" s="21">
        <v>25</v>
      </c>
      <c r="B26" s="23" t="s">
        <v>18</v>
      </c>
      <c r="C26" s="23" t="s">
        <v>45</v>
      </c>
      <c r="D26" s="23" t="s">
        <v>258</v>
      </c>
      <c r="E26" s="21" t="s">
        <v>71</v>
      </c>
      <c r="F26" s="21" t="s">
        <v>186</v>
      </c>
      <c r="G26" s="23" t="s">
        <v>87</v>
      </c>
      <c r="H26" s="23" t="s">
        <v>88</v>
      </c>
      <c r="I26" s="22">
        <v>82.333333333333329</v>
      </c>
      <c r="J26" s="22">
        <v>81.833333333333329</v>
      </c>
      <c r="K26" s="22">
        <v>84.166666666666671</v>
      </c>
      <c r="L26" s="22">
        <v>77</v>
      </c>
      <c r="M26" s="22">
        <v>81.5</v>
      </c>
      <c r="N26" s="22">
        <v>80</v>
      </c>
      <c r="O26" s="22">
        <v>81</v>
      </c>
      <c r="P26" s="22">
        <v>78</v>
      </c>
      <c r="Q26" s="22">
        <v>87</v>
      </c>
      <c r="R26" s="22">
        <v>80.5</v>
      </c>
      <c r="S26" s="22">
        <v>81</v>
      </c>
      <c r="T26" s="22">
        <v>84.5</v>
      </c>
      <c r="U26" s="22">
        <v>75.5</v>
      </c>
      <c r="V26" s="22">
        <v>81</v>
      </c>
      <c r="W26" s="22">
        <v>85.666666666666671</v>
      </c>
      <c r="X26" s="22">
        <v>81.400000000000006</v>
      </c>
      <c r="Y26" s="21">
        <v>25</v>
      </c>
    </row>
    <row r="27" spans="1:25" x14ac:dyDescent="0.25">
      <c r="A27" s="21">
        <v>26</v>
      </c>
      <c r="B27" s="23" t="s">
        <v>98</v>
      </c>
      <c r="C27" s="23" t="s">
        <v>116</v>
      </c>
      <c r="D27" s="23" t="s">
        <v>278</v>
      </c>
      <c r="E27" s="21" t="s">
        <v>134</v>
      </c>
      <c r="F27" s="21" t="s">
        <v>212</v>
      </c>
      <c r="G27" s="23" t="s">
        <v>143</v>
      </c>
      <c r="H27" s="23" t="s">
        <v>144</v>
      </c>
      <c r="I27" s="22">
        <v>87</v>
      </c>
      <c r="J27" s="22">
        <v>84</v>
      </c>
      <c r="K27" s="22">
        <v>85.5</v>
      </c>
      <c r="L27" s="22">
        <v>78.2</v>
      </c>
      <c r="M27" s="22">
        <v>82.5</v>
      </c>
      <c r="N27" s="22">
        <v>80</v>
      </c>
      <c r="O27" s="22">
        <v>78</v>
      </c>
      <c r="P27" s="22">
        <v>78.25</v>
      </c>
      <c r="Q27" s="22">
        <v>85</v>
      </c>
      <c r="R27" s="22">
        <v>78</v>
      </c>
      <c r="S27" s="22">
        <v>80.5</v>
      </c>
      <c r="T27" s="22">
        <v>79.5</v>
      </c>
      <c r="U27" s="22">
        <v>76.5</v>
      </c>
      <c r="V27" s="22">
        <v>81.25</v>
      </c>
      <c r="W27" s="22">
        <v>84.555555555555557</v>
      </c>
      <c r="X27" s="22">
        <v>81.250370370370376</v>
      </c>
      <c r="Y27" s="21">
        <v>26</v>
      </c>
    </row>
    <row r="28" spans="1:25" x14ac:dyDescent="0.25">
      <c r="A28" s="21">
        <v>27</v>
      </c>
      <c r="B28" s="23" t="s">
        <v>25</v>
      </c>
      <c r="C28" s="23" t="s">
        <v>51</v>
      </c>
      <c r="D28" s="23" t="s">
        <v>262</v>
      </c>
      <c r="E28" s="21" t="s">
        <v>78</v>
      </c>
      <c r="F28" s="21" t="s">
        <v>193</v>
      </c>
      <c r="G28" s="23" t="s">
        <v>87</v>
      </c>
      <c r="H28" s="23" t="s">
        <v>88</v>
      </c>
      <c r="I28" s="22">
        <v>86.333333333333329</v>
      </c>
      <c r="J28" s="22">
        <v>83.166666666666671</v>
      </c>
      <c r="K28" s="22">
        <v>85</v>
      </c>
      <c r="L28" s="22">
        <v>72.8</v>
      </c>
      <c r="M28" s="22">
        <v>81</v>
      </c>
      <c r="N28" s="22">
        <v>79.888333333333335</v>
      </c>
      <c r="O28" s="22">
        <v>82.5</v>
      </c>
      <c r="P28" s="22">
        <v>77.75</v>
      </c>
      <c r="Q28" s="22">
        <v>84</v>
      </c>
      <c r="R28" s="22">
        <v>80.5</v>
      </c>
      <c r="S28" s="22">
        <v>81</v>
      </c>
      <c r="T28" s="22">
        <v>81</v>
      </c>
      <c r="U28" s="22">
        <v>75.5</v>
      </c>
      <c r="V28" s="22">
        <v>81.7</v>
      </c>
      <c r="W28" s="22">
        <v>84.916666666666671</v>
      </c>
      <c r="X28" s="22">
        <v>81.137</v>
      </c>
      <c r="Y28" s="21">
        <v>27</v>
      </c>
    </row>
    <row r="29" spans="1:25" x14ac:dyDescent="0.25">
      <c r="A29" s="21">
        <v>28</v>
      </c>
      <c r="B29" s="23" t="s">
        <v>16</v>
      </c>
      <c r="C29" s="23" t="s">
        <v>43</v>
      </c>
      <c r="D29" s="23" t="s">
        <v>256</v>
      </c>
      <c r="E29" s="21" t="s">
        <v>69</v>
      </c>
      <c r="F29" s="21" t="s">
        <v>184</v>
      </c>
      <c r="G29" s="23" t="s">
        <v>87</v>
      </c>
      <c r="H29" s="23" t="s">
        <v>88</v>
      </c>
      <c r="I29" s="22">
        <v>83.833333333333329</v>
      </c>
      <c r="J29" s="22">
        <v>81.333333333333329</v>
      </c>
      <c r="K29" s="22">
        <v>85</v>
      </c>
      <c r="L29" s="22">
        <v>78.2</v>
      </c>
      <c r="M29" s="22">
        <v>82.5</v>
      </c>
      <c r="N29" s="22">
        <v>83.221666666666664</v>
      </c>
      <c r="O29" s="22">
        <v>82</v>
      </c>
      <c r="P29" s="22">
        <v>78</v>
      </c>
      <c r="Q29" s="22">
        <v>83.666666666666671</v>
      </c>
      <c r="R29" s="22">
        <v>77.5</v>
      </c>
      <c r="S29" s="22">
        <v>81</v>
      </c>
      <c r="T29" s="22">
        <v>74.5</v>
      </c>
      <c r="U29" s="22">
        <v>75.5</v>
      </c>
      <c r="V29" s="22">
        <v>83.7</v>
      </c>
      <c r="W29" s="22">
        <v>84.916666666666657</v>
      </c>
      <c r="X29" s="22">
        <v>80.991444444444454</v>
      </c>
      <c r="Y29" s="21">
        <v>28</v>
      </c>
    </row>
    <row r="30" spans="1:25" x14ac:dyDescent="0.25">
      <c r="A30" s="21">
        <v>29</v>
      </c>
      <c r="B30" s="23" t="s">
        <v>103</v>
      </c>
      <c r="C30" s="23" t="s">
        <v>121</v>
      </c>
      <c r="D30" s="23" t="s">
        <v>283</v>
      </c>
      <c r="E30" s="21" t="s">
        <v>139</v>
      </c>
      <c r="F30" s="21" t="s">
        <v>217</v>
      </c>
      <c r="G30" s="23" t="s">
        <v>143</v>
      </c>
      <c r="H30" s="23" t="s">
        <v>144</v>
      </c>
      <c r="I30" s="22">
        <v>81.5</v>
      </c>
      <c r="J30" s="22">
        <v>82.333333333333329</v>
      </c>
      <c r="K30" s="22">
        <v>83.5</v>
      </c>
      <c r="L30" s="22">
        <v>77.8</v>
      </c>
      <c r="M30" s="22">
        <v>81</v>
      </c>
      <c r="N30" s="22">
        <v>81</v>
      </c>
      <c r="O30" s="22">
        <v>80.5</v>
      </c>
      <c r="P30" s="22">
        <v>80.5</v>
      </c>
      <c r="Q30" s="22">
        <v>84</v>
      </c>
      <c r="R30" s="22">
        <v>78</v>
      </c>
      <c r="S30" s="22">
        <v>81</v>
      </c>
      <c r="T30" s="22">
        <v>81.5</v>
      </c>
      <c r="U30" s="22">
        <v>78</v>
      </c>
      <c r="V30" s="22">
        <v>80.375</v>
      </c>
      <c r="W30" s="22">
        <v>83.222222222222214</v>
      </c>
      <c r="X30" s="22">
        <v>80.948703703703686</v>
      </c>
      <c r="Y30" s="21">
        <v>29</v>
      </c>
    </row>
    <row r="31" spans="1:25" x14ac:dyDescent="0.25">
      <c r="A31" s="21">
        <v>30</v>
      </c>
      <c r="B31" s="23" t="s">
        <v>7</v>
      </c>
      <c r="C31" s="23" t="s">
        <v>35</v>
      </c>
      <c r="D31" s="23" t="s">
        <v>247</v>
      </c>
      <c r="E31" s="21">
        <v>3070719560</v>
      </c>
      <c r="F31" s="21" t="s">
        <v>175</v>
      </c>
      <c r="G31" s="23" t="s">
        <v>87</v>
      </c>
      <c r="H31" s="23" t="s">
        <v>88</v>
      </c>
      <c r="I31" s="22">
        <v>83.333333333333329</v>
      </c>
      <c r="J31" s="22">
        <v>81.166666666666671</v>
      </c>
      <c r="K31" s="22">
        <v>84</v>
      </c>
      <c r="L31" s="22">
        <v>79.8</v>
      </c>
      <c r="M31" s="22">
        <v>79.5</v>
      </c>
      <c r="N31" s="22">
        <v>79.666666666666671</v>
      </c>
      <c r="O31" s="22">
        <v>82</v>
      </c>
      <c r="P31" s="22">
        <v>76.75</v>
      </c>
      <c r="Q31" s="22">
        <v>82</v>
      </c>
      <c r="R31" s="22">
        <v>81</v>
      </c>
      <c r="S31" s="22">
        <v>81.5</v>
      </c>
      <c r="T31" s="22">
        <v>78</v>
      </c>
      <c r="U31" s="22">
        <v>75.5</v>
      </c>
      <c r="V31" s="22">
        <v>82.7</v>
      </c>
      <c r="W31" s="22">
        <v>85.916666666666671</v>
      </c>
      <c r="X31" s="22">
        <v>80.855555555555569</v>
      </c>
      <c r="Y31" s="21">
        <v>30</v>
      </c>
    </row>
    <row r="32" spans="1:25" x14ac:dyDescent="0.25">
      <c r="A32" s="21">
        <v>31</v>
      </c>
      <c r="B32" s="23" t="s">
        <v>105</v>
      </c>
      <c r="C32" s="23" t="s">
        <v>123</v>
      </c>
      <c r="D32" s="23" t="s">
        <v>286</v>
      </c>
      <c r="E32" s="21" t="s">
        <v>142</v>
      </c>
      <c r="F32" s="21" t="s">
        <v>220</v>
      </c>
      <c r="G32" s="23" t="s">
        <v>143</v>
      </c>
      <c r="H32" s="23" t="s">
        <v>144</v>
      </c>
      <c r="I32" s="22">
        <v>83.166666666666671</v>
      </c>
      <c r="J32" s="22">
        <v>80.666666666666671</v>
      </c>
      <c r="K32" s="22">
        <v>83.833333333333329</v>
      </c>
      <c r="L32" s="22">
        <v>78</v>
      </c>
      <c r="M32" s="22">
        <v>80.5</v>
      </c>
      <c r="N32" s="22">
        <v>80.333333333333329</v>
      </c>
      <c r="O32" s="22">
        <v>80</v>
      </c>
      <c r="P32" s="22">
        <v>76.75</v>
      </c>
      <c r="Q32" s="22">
        <v>84</v>
      </c>
      <c r="R32" s="22">
        <v>77</v>
      </c>
      <c r="S32" s="22">
        <v>80.5</v>
      </c>
      <c r="T32" s="22">
        <v>83.5</v>
      </c>
      <c r="U32" s="22">
        <v>77</v>
      </c>
      <c r="V32" s="22">
        <v>81.75</v>
      </c>
      <c r="W32" s="22">
        <v>84.277777777777786</v>
      </c>
      <c r="X32" s="22">
        <v>80.751851851851853</v>
      </c>
      <c r="Y32" s="21">
        <v>31</v>
      </c>
    </row>
    <row r="33" spans="1:25" x14ac:dyDescent="0.25">
      <c r="A33" s="21">
        <v>32</v>
      </c>
      <c r="B33" s="23" t="s">
        <v>28</v>
      </c>
      <c r="C33" s="23" t="s">
        <v>54</v>
      </c>
      <c r="D33" s="23" t="s">
        <v>264</v>
      </c>
      <c r="E33" s="21" t="s">
        <v>81</v>
      </c>
      <c r="F33" s="21" t="s">
        <v>196</v>
      </c>
      <c r="G33" s="23" t="s">
        <v>87</v>
      </c>
      <c r="H33" s="23" t="s">
        <v>88</v>
      </c>
      <c r="I33" s="22">
        <v>84.333333333333329</v>
      </c>
      <c r="J33" s="22">
        <v>82.666666666666671</v>
      </c>
      <c r="K33" s="22">
        <v>84.666666666666671</v>
      </c>
      <c r="L33" s="22">
        <v>76.2</v>
      </c>
      <c r="M33" s="22">
        <v>81</v>
      </c>
      <c r="N33" s="22">
        <v>79.5</v>
      </c>
      <c r="O33" s="22">
        <v>80</v>
      </c>
      <c r="P33" s="22">
        <v>77.5</v>
      </c>
      <c r="Q33" s="22">
        <v>84</v>
      </c>
      <c r="R33" s="22">
        <v>76.5</v>
      </c>
      <c r="S33" s="22">
        <v>81.5</v>
      </c>
      <c r="T33" s="22">
        <v>76</v>
      </c>
      <c r="U33" s="22">
        <v>75</v>
      </c>
      <c r="V33" s="22">
        <v>81.599999999999994</v>
      </c>
      <c r="W33" s="22">
        <v>86.833333333333343</v>
      </c>
      <c r="X33" s="22">
        <v>80.486666666666665</v>
      </c>
      <c r="Y33" s="21">
        <v>32</v>
      </c>
    </row>
    <row r="34" spans="1:25" x14ac:dyDescent="0.25">
      <c r="A34" s="21">
        <v>33</v>
      </c>
      <c r="B34" s="23" t="s">
        <v>159</v>
      </c>
      <c r="C34" s="23" t="s">
        <v>163</v>
      </c>
      <c r="D34" s="23" t="s">
        <v>290</v>
      </c>
      <c r="E34" s="21" t="s">
        <v>167</v>
      </c>
      <c r="F34" s="21" t="s">
        <v>226</v>
      </c>
      <c r="G34" s="23" t="s">
        <v>170</v>
      </c>
      <c r="H34" s="23" t="s">
        <v>170</v>
      </c>
      <c r="I34" s="22">
        <v>82.2</v>
      </c>
      <c r="J34" s="22">
        <v>80.2</v>
      </c>
      <c r="K34" s="22">
        <v>85.4</v>
      </c>
      <c r="L34" s="22">
        <v>78</v>
      </c>
      <c r="M34" s="22">
        <v>79.5</v>
      </c>
      <c r="N34" s="22">
        <v>81</v>
      </c>
      <c r="O34" s="22">
        <v>80.5</v>
      </c>
      <c r="P34" s="22">
        <v>78.5</v>
      </c>
      <c r="Q34" s="22">
        <v>86</v>
      </c>
      <c r="R34" s="22">
        <v>79.5</v>
      </c>
      <c r="S34" s="22">
        <v>81</v>
      </c>
      <c r="T34" s="22">
        <v>74.5</v>
      </c>
      <c r="U34" s="22">
        <v>76</v>
      </c>
      <c r="V34" s="22">
        <v>81.25</v>
      </c>
      <c r="W34" s="22">
        <v>82.4</v>
      </c>
      <c r="X34" s="22">
        <v>80.396666666666675</v>
      </c>
      <c r="Y34" s="21">
        <v>33</v>
      </c>
    </row>
    <row r="35" spans="1:25" x14ac:dyDescent="0.25">
      <c r="A35" s="21">
        <v>34</v>
      </c>
      <c r="B35" s="23" t="s">
        <v>6</v>
      </c>
      <c r="C35" s="23" t="s">
        <v>34</v>
      </c>
      <c r="D35" s="23" t="s">
        <v>246</v>
      </c>
      <c r="E35" s="21" t="s">
        <v>60</v>
      </c>
      <c r="F35" s="21" t="s">
        <v>174</v>
      </c>
      <c r="G35" s="23" t="s">
        <v>87</v>
      </c>
      <c r="H35" s="23" t="s">
        <v>88</v>
      </c>
      <c r="I35" s="22">
        <v>83.833333333333329</v>
      </c>
      <c r="J35" s="22">
        <v>80.5</v>
      </c>
      <c r="K35" s="22">
        <v>83.666666666666671</v>
      </c>
      <c r="L35" s="22">
        <v>78.599999999999994</v>
      </c>
      <c r="M35" s="22">
        <v>78.5</v>
      </c>
      <c r="N35" s="22">
        <v>78.333333333333329</v>
      </c>
      <c r="O35" s="22">
        <v>82</v>
      </c>
      <c r="P35" s="22">
        <v>76.75</v>
      </c>
      <c r="Q35" s="22">
        <v>82</v>
      </c>
      <c r="R35" s="22">
        <v>78.5</v>
      </c>
      <c r="S35" s="22">
        <v>81</v>
      </c>
      <c r="T35" s="22">
        <v>78.5</v>
      </c>
      <c r="U35" s="22">
        <v>75</v>
      </c>
      <c r="V35" s="22">
        <v>82.4</v>
      </c>
      <c r="W35" s="22">
        <v>86.333333333333343</v>
      </c>
      <c r="X35" s="22">
        <v>80.394444444444446</v>
      </c>
      <c r="Y35" s="21">
        <v>34</v>
      </c>
    </row>
    <row r="36" spans="1:25" x14ac:dyDescent="0.25">
      <c r="A36" s="21">
        <v>35</v>
      </c>
      <c r="B36" s="23" t="s">
        <v>93</v>
      </c>
      <c r="C36" s="23" t="s">
        <v>111</v>
      </c>
      <c r="D36" s="23" t="s">
        <v>273</v>
      </c>
      <c r="E36" s="21" t="s">
        <v>129</v>
      </c>
      <c r="F36" s="21" t="s">
        <v>207</v>
      </c>
      <c r="G36" s="23" t="s">
        <v>143</v>
      </c>
      <c r="H36" s="23" t="s">
        <v>144</v>
      </c>
      <c r="I36" s="22">
        <v>81.833333333333329</v>
      </c>
      <c r="J36" s="22">
        <v>80.166666666666671</v>
      </c>
      <c r="K36" s="22">
        <v>86.333333333333329</v>
      </c>
      <c r="L36" s="22">
        <v>80</v>
      </c>
      <c r="M36" s="22">
        <v>81.5</v>
      </c>
      <c r="N36" s="22">
        <v>79.666666666666671</v>
      </c>
      <c r="O36" s="22">
        <v>79.5</v>
      </c>
      <c r="P36" s="22">
        <v>76.75</v>
      </c>
      <c r="Q36" s="22">
        <v>84</v>
      </c>
      <c r="R36" s="22">
        <v>80</v>
      </c>
      <c r="S36" s="22">
        <v>81.5</v>
      </c>
      <c r="T36" s="22">
        <v>79</v>
      </c>
      <c r="U36" s="22">
        <v>75.5</v>
      </c>
      <c r="V36" s="22">
        <v>78.75</v>
      </c>
      <c r="W36" s="22">
        <v>80.833333333333329</v>
      </c>
      <c r="X36" s="22">
        <v>80.355555555555554</v>
      </c>
      <c r="Y36" s="21">
        <v>35</v>
      </c>
    </row>
    <row r="37" spans="1:25" x14ac:dyDescent="0.25">
      <c r="A37" s="21">
        <v>36</v>
      </c>
      <c r="B37" s="23" t="s">
        <v>91</v>
      </c>
      <c r="C37" s="23" t="s">
        <v>108</v>
      </c>
      <c r="D37" s="23" t="s">
        <v>270</v>
      </c>
      <c r="E37" s="21" t="s">
        <v>126</v>
      </c>
      <c r="F37" s="21" t="s">
        <v>204</v>
      </c>
      <c r="G37" s="23" t="s">
        <v>143</v>
      </c>
      <c r="H37" s="23" t="s">
        <v>144</v>
      </c>
      <c r="I37" s="22">
        <v>80.166666666666671</v>
      </c>
      <c r="J37" s="22">
        <v>81.166666666666671</v>
      </c>
      <c r="K37" s="22">
        <v>86.5</v>
      </c>
      <c r="L37" s="22">
        <v>75.400000000000006</v>
      </c>
      <c r="M37" s="22">
        <v>76.5</v>
      </c>
      <c r="N37" s="22">
        <v>80.221666666666664</v>
      </c>
      <c r="O37" s="22">
        <v>79.5</v>
      </c>
      <c r="P37" s="22">
        <v>76.5</v>
      </c>
      <c r="Q37" s="22">
        <v>74.666666666666671</v>
      </c>
      <c r="R37" s="22">
        <v>76</v>
      </c>
      <c r="S37" s="22">
        <v>81</v>
      </c>
      <c r="T37" s="22">
        <v>90.5</v>
      </c>
      <c r="U37" s="22">
        <v>76.5</v>
      </c>
      <c r="V37" s="22">
        <v>82.875</v>
      </c>
      <c r="W37" s="22">
        <v>80.611111111111114</v>
      </c>
      <c r="X37" s="22">
        <v>79.873851851851853</v>
      </c>
      <c r="Y37" s="21">
        <v>36</v>
      </c>
    </row>
    <row r="38" spans="1:25" x14ac:dyDescent="0.25">
      <c r="A38" s="21">
        <v>37</v>
      </c>
      <c r="B38" s="23" t="s">
        <v>20</v>
      </c>
      <c r="C38" s="23" t="s">
        <v>46</v>
      </c>
      <c r="D38" s="23" t="s">
        <v>259</v>
      </c>
      <c r="E38" s="21" t="s">
        <v>73</v>
      </c>
      <c r="F38" s="21" t="s">
        <v>188</v>
      </c>
      <c r="G38" s="23" t="s">
        <v>87</v>
      </c>
      <c r="H38" s="23" t="s">
        <v>88</v>
      </c>
      <c r="I38" s="22">
        <v>81.833333333333329</v>
      </c>
      <c r="J38" s="22">
        <v>80</v>
      </c>
      <c r="K38" s="22">
        <v>82.833333333333329</v>
      </c>
      <c r="L38" s="22">
        <v>78.599999999999994</v>
      </c>
      <c r="M38" s="22">
        <v>81</v>
      </c>
      <c r="N38" s="22">
        <v>79</v>
      </c>
      <c r="O38" s="22">
        <v>80</v>
      </c>
      <c r="P38" s="22">
        <v>77.75</v>
      </c>
      <c r="Q38" s="22">
        <v>85.333333333333329</v>
      </c>
      <c r="R38" s="22">
        <v>78</v>
      </c>
      <c r="S38" s="22">
        <v>81</v>
      </c>
      <c r="T38" s="22">
        <v>75</v>
      </c>
      <c r="U38" s="22">
        <v>72</v>
      </c>
      <c r="V38" s="22">
        <v>79.2</v>
      </c>
      <c r="W38" s="22">
        <v>84.750000000000014</v>
      </c>
      <c r="X38" s="22">
        <v>79.75333333333333</v>
      </c>
      <c r="Y38" s="21">
        <v>37</v>
      </c>
    </row>
    <row r="39" spans="1:25" x14ac:dyDescent="0.25">
      <c r="A39" s="21">
        <v>38</v>
      </c>
      <c r="B39" s="23" t="s">
        <v>19</v>
      </c>
      <c r="C39" s="23" t="s">
        <v>46</v>
      </c>
      <c r="D39" s="23" t="s">
        <v>259</v>
      </c>
      <c r="E39" s="21" t="s">
        <v>72</v>
      </c>
      <c r="F39" s="21" t="s">
        <v>187</v>
      </c>
      <c r="G39" s="23" t="s">
        <v>87</v>
      </c>
      <c r="H39" s="23" t="s">
        <v>88</v>
      </c>
      <c r="I39" s="22">
        <v>82.333333333333329</v>
      </c>
      <c r="J39" s="22">
        <v>79.333333333333329</v>
      </c>
      <c r="K39" s="22">
        <v>83.333333333333329</v>
      </c>
      <c r="L39" s="22">
        <v>76.2</v>
      </c>
      <c r="M39" s="22">
        <v>79</v>
      </c>
      <c r="N39" s="22">
        <v>79.833333333333329</v>
      </c>
      <c r="O39" s="22">
        <v>80.5</v>
      </c>
      <c r="P39" s="22">
        <v>77</v>
      </c>
      <c r="Q39" s="22">
        <v>84</v>
      </c>
      <c r="R39" s="22">
        <v>79.5</v>
      </c>
      <c r="S39" s="22">
        <v>81</v>
      </c>
      <c r="T39" s="22">
        <v>77</v>
      </c>
      <c r="U39" s="22">
        <v>74</v>
      </c>
      <c r="V39" s="22">
        <v>79.599999999999994</v>
      </c>
      <c r="W39" s="22">
        <v>83.5</v>
      </c>
      <c r="X39" s="22">
        <v>79.74222222222221</v>
      </c>
      <c r="Y39" s="21">
        <v>38</v>
      </c>
    </row>
    <row r="40" spans="1:25" x14ac:dyDescent="0.25">
      <c r="A40" s="21">
        <v>39</v>
      </c>
      <c r="B40" s="23" t="s">
        <v>30</v>
      </c>
      <c r="C40" s="23" t="s">
        <v>56</v>
      </c>
      <c r="D40" s="23" t="s">
        <v>297</v>
      </c>
      <c r="E40" s="21" t="s">
        <v>83</v>
      </c>
      <c r="F40" s="21" t="s">
        <v>198</v>
      </c>
      <c r="G40" s="23" t="s">
        <v>87</v>
      </c>
      <c r="H40" s="23" t="s">
        <v>88</v>
      </c>
      <c r="I40" s="22">
        <v>81.166666666666671</v>
      </c>
      <c r="J40" s="22">
        <v>80.583333333333329</v>
      </c>
      <c r="K40" s="22">
        <v>82.666666666666671</v>
      </c>
      <c r="L40" s="22">
        <v>76.400000000000006</v>
      </c>
      <c r="M40" s="22">
        <v>80.5</v>
      </c>
      <c r="N40" s="22">
        <v>79.5</v>
      </c>
      <c r="O40" s="22">
        <v>81.5</v>
      </c>
      <c r="P40" s="22">
        <v>77.5</v>
      </c>
      <c r="Q40" s="22">
        <v>82</v>
      </c>
      <c r="R40" s="22">
        <v>77</v>
      </c>
      <c r="S40" s="22">
        <v>81</v>
      </c>
      <c r="T40" s="22">
        <v>77</v>
      </c>
      <c r="U40" s="22">
        <v>74</v>
      </c>
      <c r="V40" s="22">
        <v>80.3</v>
      </c>
      <c r="W40" s="22">
        <v>83.666666666666671</v>
      </c>
      <c r="X40" s="22">
        <v>79.652222222222221</v>
      </c>
      <c r="Y40" s="21">
        <v>39</v>
      </c>
    </row>
    <row r="41" spans="1:25" x14ac:dyDescent="0.25">
      <c r="A41" s="21">
        <v>40</v>
      </c>
      <c r="B41" s="23" t="s">
        <v>8</v>
      </c>
      <c r="C41" s="23" t="s">
        <v>36</v>
      </c>
      <c r="D41" s="23" t="s">
        <v>248</v>
      </c>
      <c r="E41" s="21" t="s">
        <v>61</v>
      </c>
      <c r="F41" s="21" t="s">
        <v>176</v>
      </c>
      <c r="G41" s="23" t="s">
        <v>87</v>
      </c>
      <c r="H41" s="23" t="s">
        <v>88</v>
      </c>
      <c r="I41" s="22">
        <v>80.833333333333329</v>
      </c>
      <c r="J41" s="22">
        <v>79.833333333333329</v>
      </c>
      <c r="K41" s="22">
        <v>82.166666666666671</v>
      </c>
      <c r="L41" s="22">
        <v>75.400000000000006</v>
      </c>
      <c r="M41" s="22">
        <v>78</v>
      </c>
      <c r="N41" s="22">
        <v>83.054999999999993</v>
      </c>
      <c r="O41" s="22">
        <v>80.5</v>
      </c>
      <c r="P41" s="22">
        <v>76.5</v>
      </c>
      <c r="Q41" s="22">
        <v>84</v>
      </c>
      <c r="R41" s="22">
        <v>80</v>
      </c>
      <c r="S41" s="22">
        <v>81.5</v>
      </c>
      <c r="T41" s="22">
        <v>75.5</v>
      </c>
      <c r="U41" s="22">
        <v>73</v>
      </c>
      <c r="V41" s="22">
        <v>79.8</v>
      </c>
      <c r="W41" s="22">
        <v>84.666666666666657</v>
      </c>
      <c r="X41" s="22">
        <v>79.650333333333336</v>
      </c>
      <c r="Y41" s="21">
        <v>40</v>
      </c>
    </row>
    <row r="42" spans="1:25" x14ac:dyDescent="0.25">
      <c r="A42" s="21">
        <v>41</v>
      </c>
      <c r="B42" s="23" t="s">
        <v>92</v>
      </c>
      <c r="C42" s="23" t="s">
        <v>110</v>
      </c>
      <c r="D42" s="23" t="s">
        <v>272</v>
      </c>
      <c r="E42" s="21" t="s">
        <v>128</v>
      </c>
      <c r="F42" s="21" t="s">
        <v>206</v>
      </c>
      <c r="G42" s="23" t="s">
        <v>143</v>
      </c>
      <c r="H42" s="23" t="s">
        <v>144</v>
      </c>
      <c r="I42" s="22">
        <v>81.833333333333329</v>
      </c>
      <c r="J42" s="22">
        <v>79.833333333333329</v>
      </c>
      <c r="K42" s="22">
        <v>83.5</v>
      </c>
      <c r="L42" s="22">
        <v>80</v>
      </c>
      <c r="M42" s="22">
        <v>78.5</v>
      </c>
      <c r="N42" s="22">
        <v>81.554999999999993</v>
      </c>
      <c r="O42" s="22">
        <v>77</v>
      </c>
      <c r="P42" s="22">
        <v>76.75</v>
      </c>
      <c r="Q42" s="22">
        <v>82.333333333333329</v>
      </c>
      <c r="R42" s="22">
        <v>77</v>
      </c>
      <c r="S42" s="22">
        <v>81</v>
      </c>
      <c r="T42" s="22">
        <v>75</v>
      </c>
      <c r="U42" s="22">
        <v>79.5</v>
      </c>
      <c r="V42" s="22">
        <v>78.25</v>
      </c>
      <c r="W42" s="22">
        <v>82.277777777777771</v>
      </c>
      <c r="X42" s="22">
        <v>79.622185185185174</v>
      </c>
      <c r="Y42" s="21">
        <v>41</v>
      </c>
    </row>
    <row r="43" spans="1:25" x14ac:dyDescent="0.25">
      <c r="A43" s="21">
        <v>42</v>
      </c>
      <c r="B43" s="23" t="s">
        <v>27</v>
      </c>
      <c r="C43" s="23" t="s">
        <v>53</v>
      </c>
      <c r="D43" s="23" t="s">
        <v>263</v>
      </c>
      <c r="E43" s="21" t="s">
        <v>80</v>
      </c>
      <c r="F43" s="21" t="s">
        <v>195</v>
      </c>
      <c r="G43" s="23" t="s">
        <v>87</v>
      </c>
      <c r="H43" s="23" t="s">
        <v>88</v>
      </c>
      <c r="I43" s="22">
        <v>80.833333333333329</v>
      </c>
      <c r="J43" s="22">
        <v>79.333333333333329</v>
      </c>
      <c r="K43" s="22">
        <v>82.5</v>
      </c>
      <c r="L43" s="22">
        <v>77</v>
      </c>
      <c r="M43" s="22">
        <v>80.5</v>
      </c>
      <c r="N43" s="22">
        <v>77.666666666666671</v>
      </c>
      <c r="O43" s="22">
        <v>80.5</v>
      </c>
      <c r="P43" s="22">
        <v>77.75</v>
      </c>
      <c r="Q43" s="22">
        <v>84.666666666666671</v>
      </c>
      <c r="R43" s="22">
        <v>78</v>
      </c>
      <c r="S43" s="22">
        <v>81</v>
      </c>
      <c r="T43" s="22">
        <v>76.5</v>
      </c>
      <c r="U43" s="22">
        <v>72.5</v>
      </c>
      <c r="V43" s="22">
        <v>78.7</v>
      </c>
      <c r="W43" s="22">
        <v>83.5</v>
      </c>
      <c r="X43" s="22">
        <v>79.396666666666675</v>
      </c>
      <c r="Y43" s="21">
        <v>42</v>
      </c>
    </row>
    <row r="44" spans="1:25" x14ac:dyDescent="0.25">
      <c r="A44" s="21">
        <v>43</v>
      </c>
      <c r="B44" s="23" t="s">
        <v>21</v>
      </c>
      <c r="C44" s="23" t="s">
        <v>47</v>
      </c>
      <c r="D44" s="23" t="s">
        <v>293</v>
      </c>
      <c r="E44" s="21" t="s">
        <v>74</v>
      </c>
      <c r="F44" s="21" t="s">
        <v>189</v>
      </c>
      <c r="G44" s="23" t="s">
        <v>87</v>
      </c>
      <c r="H44" s="23" t="s">
        <v>88</v>
      </c>
      <c r="I44" s="22">
        <v>80.833333333333329</v>
      </c>
      <c r="J44" s="22">
        <v>79.333333333333329</v>
      </c>
      <c r="K44" s="22">
        <v>82.833333333333329</v>
      </c>
      <c r="L44" s="22">
        <v>78.8</v>
      </c>
      <c r="M44" s="22">
        <v>80.5</v>
      </c>
      <c r="N44" s="22">
        <v>78.666666666666671</v>
      </c>
      <c r="O44" s="22">
        <v>78.5</v>
      </c>
      <c r="P44" s="22">
        <v>77.5</v>
      </c>
      <c r="Q44" s="22">
        <v>82.666666666666671</v>
      </c>
      <c r="R44" s="22">
        <v>77.5</v>
      </c>
      <c r="S44" s="22">
        <v>80.5</v>
      </c>
      <c r="T44" s="22">
        <v>75</v>
      </c>
      <c r="U44" s="22">
        <v>73.5</v>
      </c>
      <c r="V44" s="22">
        <v>80.099999999999994</v>
      </c>
      <c r="W44" s="22">
        <v>83</v>
      </c>
      <c r="X44" s="22">
        <v>79.282222222222202</v>
      </c>
      <c r="Y44" s="21">
        <v>43</v>
      </c>
    </row>
    <row r="45" spans="1:25" x14ac:dyDescent="0.25">
      <c r="A45" s="21">
        <v>44</v>
      </c>
      <c r="B45" s="23" t="s">
        <v>89</v>
      </c>
      <c r="C45" s="23" t="s">
        <v>106</v>
      </c>
      <c r="D45" s="23" t="s">
        <v>268</v>
      </c>
      <c r="E45" s="21" t="s">
        <v>124</v>
      </c>
      <c r="F45" s="21" t="s">
        <v>202</v>
      </c>
      <c r="G45" s="23" t="s">
        <v>143</v>
      </c>
      <c r="H45" s="23" t="s">
        <v>144</v>
      </c>
      <c r="I45" s="22">
        <v>81.666666666666671</v>
      </c>
      <c r="J45" s="22">
        <v>78.5</v>
      </c>
      <c r="K45" s="22">
        <v>80.8</v>
      </c>
      <c r="L45" s="22">
        <v>77.5</v>
      </c>
      <c r="M45" s="22">
        <v>77</v>
      </c>
      <c r="N45" s="22">
        <v>77.8</v>
      </c>
      <c r="O45" s="22">
        <v>75.5</v>
      </c>
      <c r="P45" s="22">
        <v>74.5</v>
      </c>
      <c r="Q45" s="22">
        <v>78.333333333333329</v>
      </c>
      <c r="R45" s="22">
        <v>82.5</v>
      </c>
      <c r="S45" s="22">
        <v>80.5</v>
      </c>
      <c r="T45" s="22">
        <v>81</v>
      </c>
      <c r="U45" s="22">
        <v>82</v>
      </c>
      <c r="V45" s="22">
        <v>81.5</v>
      </c>
      <c r="W45" s="22">
        <v>77.166666666666671</v>
      </c>
      <c r="X45" s="22">
        <v>79.084444444444443</v>
      </c>
      <c r="Y45" s="21">
        <v>44</v>
      </c>
    </row>
    <row r="46" spans="1:25" x14ac:dyDescent="0.25">
      <c r="A46" s="21">
        <v>45</v>
      </c>
      <c r="B46" s="23" t="s">
        <v>26</v>
      </c>
      <c r="C46" s="23" t="s">
        <v>52</v>
      </c>
      <c r="D46" s="23" t="s">
        <v>295</v>
      </c>
      <c r="E46" s="21" t="s">
        <v>79</v>
      </c>
      <c r="F46" s="21" t="s">
        <v>194</v>
      </c>
      <c r="G46" s="23" t="s">
        <v>87</v>
      </c>
      <c r="H46" s="23" t="s">
        <v>88</v>
      </c>
      <c r="I46" s="22">
        <v>80</v>
      </c>
      <c r="J46" s="22">
        <v>79.833333333333329</v>
      </c>
      <c r="K46" s="22">
        <v>83</v>
      </c>
      <c r="L46" s="22">
        <v>75.599999999999994</v>
      </c>
      <c r="M46" s="22">
        <v>81.5</v>
      </c>
      <c r="N46" s="22">
        <v>78.333333333333329</v>
      </c>
      <c r="O46" s="22">
        <v>80.5</v>
      </c>
      <c r="P46" s="22">
        <v>77.25</v>
      </c>
      <c r="Q46" s="22">
        <v>82.666666666666671</v>
      </c>
      <c r="R46" s="22">
        <v>76.5</v>
      </c>
      <c r="S46" s="22">
        <v>81</v>
      </c>
      <c r="T46" s="22">
        <v>72.5</v>
      </c>
      <c r="U46" s="22">
        <v>72.5</v>
      </c>
      <c r="V46" s="22">
        <v>79.8</v>
      </c>
      <c r="W46" s="22">
        <v>81.666666666666657</v>
      </c>
      <c r="X46" s="22">
        <v>78.843333333333334</v>
      </c>
      <c r="Y46" s="21">
        <v>45</v>
      </c>
    </row>
    <row r="47" spans="1:25" x14ac:dyDescent="0.25">
      <c r="A47" s="21">
        <v>46</v>
      </c>
      <c r="B47" s="23" t="s">
        <v>172</v>
      </c>
      <c r="C47" s="23" t="s">
        <v>109</v>
      </c>
      <c r="D47" s="23" t="s">
        <v>271</v>
      </c>
      <c r="E47" s="21" t="s">
        <v>127</v>
      </c>
      <c r="F47" s="21" t="s">
        <v>205</v>
      </c>
      <c r="G47" s="23" t="s">
        <v>143</v>
      </c>
      <c r="H47" s="23" t="s">
        <v>144</v>
      </c>
      <c r="I47" s="22">
        <v>83.166666666666671</v>
      </c>
      <c r="J47" s="22">
        <v>79.333333333333329</v>
      </c>
      <c r="K47" s="22">
        <v>83.333333333333329</v>
      </c>
      <c r="L47" s="22">
        <v>75.2</v>
      </c>
      <c r="M47" s="22">
        <v>76</v>
      </c>
      <c r="N47" s="22">
        <v>81.666666666666671</v>
      </c>
      <c r="O47" s="22">
        <v>76</v>
      </c>
      <c r="P47" s="22">
        <v>79</v>
      </c>
      <c r="Q47" s="22">
        <v>80</v>
      </c>
      <c r="R47" s="22">
        <v>79</v>
      </c>
      <c r="S47" s="22">
        <v>80</v>
      </c>
      <c r="T47" s="22">
        <v>74.5</v>
      </c>
      <c r="U47" s="22">
        <v>76</v>
      </c>
      <c r="V47" s="22">
        <v>77.625</v>
      </c>
      <c r="W47" s="22">
        <v>80.888888888888886</v>
      </c>
      <c r="X47" s="22">
        <v>78.780925925925928</v>
      </c>
      <c r="Y47" s="21">
        <v>46</v>
      </c>
    </row>
    <row r="48" spans="1:25" x14ac:dyDescent="0.25">
      <c r="A48" s="21">
        <v>47</v>
      </c>
      <c r="B48" s="23" t="s">
        <v>10</v>
      </c>
      <c r="C48" s="23" t="s">
        <v>37</v>
      </c>
      <c r="D48" s="23" t="s">
        <v>250</v>
      </c>
      <c r="E48" s="21" t="s">
        <v>63</v>
      </c>
      <c r="F48" s="21" t="s">
        <v>178</v>
      </c>
      <c r="G48" s="23" t="s">
        <v>87</v>
      </c>
      <c r="H48" s="23" t="s">
        <v>88</v>
      </c>
      <c r="I48" s="22">
        <v>82.666666666666671</v>
      </c>
      <c r="J48" s="22">
        <v>78.666666666666671</v>
      </c>
      <c r="K48" s="22">
        <v>82.333333333333329</v>
      </c>
      <c r="L48" s="22">
        <v>75.8</v>
      </c>
      <c r="M48" s="22">
        <v>76</v>
      </c>
      <c r="N48" s="22">
        <v>77.833333333333329</v>
      </c>
      <c r="O48" s="22">
        <v>83</v>
      </c>
      <c r="P48" s="22">
        <v>77</v>
      </c>
      <c r="Q48" s="22">
        <v>81.666666666666671</v>
      </c>
      <c r="R48" s="22">
        <v>77.5</v>
      </c>
      <c r="S48" s="22">
        <v>82</v>
      </c>
      <c r="T48" s="22">
        <v>76.5</v>
      </c>
      <c r="U48" s="22">
        <v>71</v>
      </c>
      <c r="V48" s="22">
        <v>78.8</v>
      </c>
      <c r="W48" s="22">
        <v>80.833333333333329</v>
      </c>
      <c r="X48" s="22">
        <v>78.773333333333326</v>
      </c>
      <c r="Y48" s="21">
        <v>47</v>
      </c>
    </row>
    <row r="49" spans="1:25" x14ac:dyDescent="0.25">
      <c r="A49" s="21">
        <v>48</v>
      </c>
      <c r="B49" s="23" t="s">
        <v>96</v>
      </c>
      <c r="C49" s="23" t="s">
        <v>114</v>
      </c>
      <c r="D49" s="23" t="s">
        <v>276</v>
      </c>
      <c r="E49" s="21" t="s">
        <v>132</v>
      </c>
      <c r="F49" s="21" t="s">
        <v>210</v>
      </c>
      <c r="G49" s="23" t="s">
        <v>143</v>
      </c>
      <c r="H49" s="23" t="s">
        <v>144</v>
      </c>
      <c r="I49" s="22">
        <v>82.333333333333329</v>
      </c>
      <c r="J49" s="22">
        <v>79</v>
      </c>
      <c r="K49" s="22">
        <v>82.666666666666671</v>
      </c>
      <c r="L49" s="22">
        <v>77.400000000000006</v>
      </c>
      <c r="M49" s="22">
        <v>80</v>
      </c>
      <c r="N49" s="22">
        <v>77.5</v>
      </c>
      <c r="O49" s="22">
        <v>76</v>
      </c>
      <c r="P49" s="22">
        <v>78</v>
      </c>
      <c r="Q49" s="22">
        <v>79</v>
      </c>
      <c r="R49" s="22">
        <v>77.5</v>
      </c>
      <c r="S49" s="22">
        <v>80.5</v>
      </c>
      <c r="T49" s="22">
        <v>78</v>
      </c>
      <c r="U49" s="22">
        <v>73.5</v>
      </c>
      <c r="V49" s="22">
        <v>76.625</v>
      </c>
      <c r="W49" s="22">
        <v>79.222222222222214</v>
      </c>
      <c r="X49" s="22">
        <v>78.483148148148146</v>
      </c>
      <c r="Y49" s="21">
        <v>48</v>
      </c>
    </row>
    <row r="50" spans="1:25" x14ac:dyDescent="0.25">
      <c r="A50" s="21">
        <v>49</v>
      </c>
      <c r="B50" s="23" t="s">
        <v>146</v>
      </c>
      <c r="C50" s="23" t="s">
        <v>150</v>
      </c>
      <c r="D50" s="23" t="s">
        <v>299</v>
      </c>
      <c r="E50" s="21" t="s">
        <v>154</v>
      </c>
      <c r="F50" s="21" t="s">
        <v>222</v>
      </c>
      <c r="G50" s="23" t="s">
        <v>157</v>
      </c>
      <c r="H50" s="23" t="s">
        <v>157</v>
      </c>
      <c r="I50" s="22">
        <v>80.2</v>
      </c>
      <c r="J50" s="22">
        <v>77.8</v>
      </c>
      <c r="K50" s="22">
        <v>82</v>
      </c>
      <c r="L50" s="22">
        <v>74</v>
      </c>
      <c r="M50" s="22">
        <v>79</v>
      </c>
      <c r="N50" s="22">
        <v>79</v>
      </c>
      <c r="O50" s="22">
        <v>81.5</v>
      </c>
      <c r="P50" s="22">
        <v>74.666666666666671</v>
      </c>
      <c r="Q50" s="22">
        <v>82.333333333333329</v>
      </c>
      <c r="R50" s="22">
        <v>74</v>
      </c>
      <c r="S50" s="22">
        <v>81</v>
      </c>
      <c r="T50" s="22">
        <v>74.5</v>
      </c>
      <c r="U50" s="22">
        <v>71</v>
      </c>
      <c r="V50" s="22">
        <v>81</v>
      </c>
      <c r="W50" s="22">
        <v>82.166666666666671</v>
      </c>
      <c r="X50" s="22">
        <v>78.277777777777786</v>
      </c>
      <c r="Y50" s="21">
        <v>49</v>
      </c>
    </row>
    <row r="51" spans="1:25" x14ac:dyDescent="0.25">
      <c r="A51" s="21">
        <v>50</v>
      </c>
      <c r="B51" s="23" t="s">
        <v>301</v>
      </c>
      <c r="C51" s="23"/>
      <c r="D51" s="23"/>
      <c r="E51" s="21"/>
      <c r="F51" s="21"/>
      <c r="G51" s="23"/>
      <c r="H51" s="23"/>
      <c r="I51" s="22">
        <v>77</v>
      </c>
      <c r="J51" s="22">
        <v>76</v>
      </c>
      <c r="K51" s="22">
        <v>78.400000000000006</v>
      </c>
      <c r="L51" s="22">
        <v>76.75</v>
      </c>
      <c r="M51" s="22">
        <v>78.5</v>
      </c>
      <c r="N51" s="22">
        <v>77</v>
      </c>
      <c r="O51" s="22">
        <v>77</v>
      </c>
      <c r="P51" s="22">
        <v>78</v>
      </c>
      <c r="Q51" s="22">
        <v>74</v>
      </c>
      <c r="R51" s="22">
        <v>80</v>
      </c>
      <c r="S51" s="22">
        <v>81</v>
      </c>
      <c r="T51" s="22">
        <v>72.5</v>
      </c>
      <c r="U51" s="22">
        <v>74.5</v>
      </c>
      <c r="V51" s="22">
        <v>79</v>
      </c>
      <c r="W51" s="22">
        <v>76.166666666666657</v>
      </c>
      <c r="X51" s="22">
        <v>77.054444444444457</v>
      </c>
      <c r="Y51" s="21">
        <v>50</v>
      </c>
    </row>
    <row r="52" spans="1:25" x14ac:dyDescent="0.25">
      <c r="A52" s="21">
        <v>51</v>
      </c>
      <c r="B52" s="23" t="s">
        <v>9</v>
      </c>
      <c r="C52" s="23" t="s">
        <v>34</v>
      </c>
      <c r="D52" s="23" t="s">
        <v>249</v>
      </c>
      <c r="E52" s="21" t="s">
        <v>62</v>
      </c>
      <c r="F52" s="21" t="s">
        <v>177</v>
      </c>
      <c r="G52" s="23" t="s">
        <v>87</v>
      </c>
      <c r="H52" s="23" t="s">
        <v>88</v>
      </c>
      <c r="I52" s="22">
        <v>77.833333333333329</v>
      </c>
      <c r="J52" s="22">
        <v>72</v>
      </c>
      <c r="K52" s="22">
        <v>80</v>
      </c>
      <c r="L52" s="22">
        <v>75.2</v>
      </c>
      <c r="M52" s="22">
        <v>75</v>
      </c>
      <c r="N52" s="22">
        <v>75.278333333333336</v>
      </c>
      <c r="O52" s="22">
        <v>81.5</v>
      </c>
      <c r="P52" s="22">
        <v>75.75</v>
      </c>
      <c r="Q52" s="22">
        <v>74.666666666666671</v>
      </c>
      <c r="R52" s="22">
        <v>75</v>
      </c>
      <c r="S52" s="22">
        <v>81</v>
      </c>
      <c r="T52" s="22">
        <v>72</v>
      </c>
      <c r="U52" s="22">
        <v>71.5</v>
      </c>
      <c r="V52" s="22">
        <v>78.7</v>
      </c>
      <c r="W52" s="22">
        <v>78.5</v>
      </c>
      <c r="X52" s="22">
        <v>76.26188888888889</v>
      </c>
      <c r="Y52" s="21">
        <v>51</v>
      </c>
    </row>
    <row r="53" spans="1:25" x14ac:dyDescent="0.25">
      <c r="A53" s="21">
        <v>52</v>
      </c>
      <c r="B53" s="23" t="s">
        <v>147</v>
      </c>
      <c r="C53" s="23" t="s">
        <v>151</v>
      </c>
      <c r="D53" s="23" t="s">
        <v>300</v>
      </c>
      <c r="E53" s="21" t="s">
        <v>155</v>
      </c>
      <c r="F53" s="21" t="s">
        <v>223</v>
      </c>
      <c r="G53" s="23" t="s">
        <v>157</v>
      </c>
      <c r="H53" s="23" t="s">
        <v>157</v>
      </c>
      <c r="I53" s="22">
        <v>76.8</v>
      </c>
      <c r="J53" s="22">
        <v>73.75</v>
      </c>
      <c r="K53" s="22">
        <v>77</v>
      </c>
      <c r="L53" s="22">
        <v>72.2</v>
      </c>
      <c r="M53" s="22">
        <v>74.5</v>
      </c>
      <c r="N53" s="22">
        <v>73.75</v>
      </c>
      <c r="O53" s="22">
        <v>77</v>
      </c>
      <c r="P53" s="22">
        <v>75.333333333333329</v>
      </c>
      <c r="Q53" s="22">
        <v>73</v>
      </c>
      <c r="R53" s="22">
        <v>73</v>
      </c>
      <c r="S53" s="22">
        <v>81</v>
      </c>
      <c r="T53" s="22">
        <v>73.5</v>
      </c>
      <c r="U53" s="22">
        <v>71</v>
      </c>
      <c r="V53" s="22">
        <v>81.375</v>
      </c>
      <c r="W53" s="22">
        <v>74.333333333333329</v>
      </c>
      <c r="X53" s="22">
        <v>75.169444444444451</v>
      </c>
      <c r="Y53" s="21">
        <v>52</v>
      </c>
    </row>
    <row r="54" spans="1:25" x14ac:dyDescent="0.25">
      <c r="A54" s="21">
        <v>53</v>
      </c>
      <c r="B54" s="23" t="s">
        <v>148</v>
      </c>
      <c r="C54" s="23" t="s">
        <v>152</v>
      </c>
      <c r="D54" s="23" t="s">
        <v>288</v>
      </c>
      <c r="E54" s="21" t="s">
        <v>156</v>
      </c>
      <c r="F54" s="21" t="s">
        <v>224</v>
      </c>
      <c r="G54" s="23" t="s">
        <v>157</v>
      </c>
      <c r="H54" s="23" t="s">
        <v>157</v>
      </c>
      <c r="I54" s="22">
        <v>77</v>
      </c>
      <c r="J54" s="22">
        <v>73.400000000000006</v>
      </c>
      <c r="K54" s="22">
        <v>78.400000000000006</v>
      </c>
      <c r="L54" s="22">
        <v>72</v>
      </c>
      <c r="M54" s="22">
        <v>73</v>
      </c>
      <c r="N54" s="22">
        <v>73.25</v>
      </c>
      <c r="O54" s="22">
        <v>75.5</v>
      </c>
      <c r="P54" s="22">
        <v>72.666666666666671</v>
      </c>
      <c r="Q54" s="22">
        <v>73</v>
      </c>
      <c r="R54" s="22">
        <v>73.5</v>
      </c>
      <c r="S54" s="22">
        <v>75.5</v>
      </c>
      <c r="T54" s="22">
        <v>74.5</v>
      </c>
      <c r="U54" s="22">
        <v>71</v>
      </c>
      <c r="V54" s="22">
        <v>77.625</v>
      </c>
      <c r="W54" s="22">
        <v>74.333333333333329</v>
      </c>
      <c r="X54" s="22">
        <v>74.311666666666667</v>
      </c>
      <c r="Y54" s="21">
        <v>53</v>
      </c>
    </row>
    <row r="55" spans="1:25" x14ac:dyDescent="0.25">
      <c r="A55" s="21">
        <v>54</v>
      </c>
      <c r="B55" s="23" t="s">
        <v>160</v>
      </c>
      <c r="C55" s="23" t="s">
        <v>164</v>
      </c>
      <c r="D55" s="23" t="s">
        <v>291</v>
      </c>
      <c r="E55" s="21" t="s">
        <v>168</v>
      </c>
      <c r="F55" s="21" t="s">
        <v>227</v>
      </c>
      <c r="G55" s="23" t="s">
        <v>170</v>
      </c>
      <c r="H55" s="23" t="s">
        <v>170</v>
      </c>
      <c r="I55" s="22">
        <v>74.599999999999994</v>
      </c>
      <c r="J55" s="22">
        <v>72.5</v>
      </c>
      <c r="K55" s="22">
        <v>77</v>
      </c>
      <c r="L55" s="22">
        <v>72</v>
      </c>
      <c r="M55" s="22">
        <v>71</v>
      </c>
      <c r="N55" s="22">
        <v>72.25</v>
      </c>
      <c r="O55" s="22">
        <v>74</v>
      </c>
      <c r="P55" s="22">
        <v>70.5</v>
      </c>
      <c r="Q55" s="22">
        <v>73</v>
      </c>
      <c r="R55" s="22">
        <v>71.5</v>
      </c>
      <c r="S55" s="22">
        <v>70</v>
      </c>
      <c r="T55" s="22">
        <v>70</v>
      </c>
      <c r="U55" s="22">
        <v>70</v>
      </c>
      <c r="V55" s="22">
        <v>71.375</v>
      </c>
      <c r="W55" s="22">
        <v>73.333333333333343</v>
      </c>
      <c r="X55" s="22">
        <v>72.203888888888898</v>
      </c>
      <c r="Y55" s="21">
        <v>54</v>
      </c>
    </row>
    <row r="56" spans="1:25" x14ac:dyDescent="0.25">
      <c r="A56" s="21">
        <v>55</v>
      </c>
      <c r="B56" s="23" t="s">
        <v>158</v>
      </c>
      <c r="C56" s="23" t="s">
        <v>162</v>
      </c>
      <c r="D56" s="23" t="s">
        <v>289</v>
      </c>
      <c r="E56" s="21" t="s">
        <v>166</v>
      </c>
      <c r="F56" s="21" t="s">
        <v>225</v>
      </c>
      <c r="G56" s="23" t="s">
        <v>170</v>
      </c>
      <c r="H56" s="23" t="s">
        <v>170</v>
      </c>
      <c r="I56" s="22">
        <v>74.400000000000006</v>
      </c>
      <c r="J56" s="22">
        <v>72.5</v>
      </c>
      <c r="K56" s="22">
        <v>77</v>
      </c>
      <c r="L56" s="22">
        <v>71.25</v>
      </c>
      <c r="M56" s="22">
        <v>71</v>
      </c>
      <c r="N56" s="22">
        <v>72.5</v>
      </c>
      <c r="O56" s="22">
        <v>73.5</v>
      </c>
      <c r="P56" s="22">
        <v>70.5</v>
      </c>
      <c r="Q56" s="22">
        <v>73</v>
      </c>
      <c r="R56" s="22">
        <v>70.5</v>
      </c>
      <c r="S56" s="22">
        <v>70</v>
      </c>
      <c r="T56" s="22">
        <v>70</v>
      </c>
      <c r="U56" s="22">
        <v>70</v>
      </c>
      <c r="V56" s="22">
        <v>71.25</v>
      </c>
      <c r="W56" s="22">
        <v>73.733333333333334</v>
      </c>
      <c r="X56" s="22">
        <v>72.075555555555553</v>
      </c>
      <c r="Y56" s="21">
        <v>55</v>
      </c>
    </row>
    <row r="57" spans="1:25" x14ac:dyDescent="0.25">
      <c r="A57" s="21">
        <v>56</v>
      </c>
      <c r="B57" s="23" t="s">
        <v>161</v>
      </c>
      <c r="C57" s="23" t="s">
        <v>165</v>
      </c>
      <c r="D57" s="23" t="s">
        <v>292</v>
      </c>
      <c r="E57" s="21" t="s">
        <v>169</v>
      </c>
      <c r="F57" s="21" t="s">
        <v>228</v>
      </c>
      <c r="G57" s="23" t="s">
        <v>170</v>
      </c>
      <c r="H57" s="23" t="s">
        <v>170</v>
      </c>
      <c r="I57" s="22">
        <v>83.8</v>
      </c>
      <c r="J57" s="22">
        <v>81</v>
      </c>
      <c r="K57" s="22">
        <v>85.4</v>
      </c>
      <c r="L57" s="22">
        <v>80.400000000000006</v>
      </c>
      <c r="M57" s="22">
        <v>83</v>
      </c>
      <c r="N57" s="22">
        <v>79.400000000000006</v>
      </c>
      <c r="O57" s="22">
        <v>89</v>
      </c>
      <c r="P57" s="22">
        <v>82.25</v>
      </c>
      <c r="Q57" s="22">
        <v>81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82.7</v>
      </c>
      <c r="X57" s="22">
        <v>55.196666666666673</v>
      </c>
      <c r="Y57" s="21">
        <v>56</v>
      </c>
    </row>
  </sheetData>
  <autoFilter ref="A1:Y1" xr:uid="{2725CA1C-5E17-4DD8-A53D-5A87748FED7D}">
    <sortState xmlns:xlrd2="http://schemas.microsoft.com/office/spreadsheetml/2017/richdata2" ref="A2:Y5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0B1A-6498-4533-B469-214026321A7D}">
  <dimension ref="A2:S57"/>
  <sheetViews>
    <sheetView zoomScaleNormal="100" workbookViewId="0">
      <selection activeCell="B61" sqref="B61"/>
    </sheetView>
  </sheetViews>
  <sheetFormatPr defaultColWidth="4" defaultRowHeight="15" x14ac:dyDescent="0.25"/>
  <cols>
    <col min="2" max="2" width="24" customWidth="1"/>
    <col min="3" max="18" width="8.7109375" style="1" customWidth="1"/>
    <col min="19" max="19" width="5.85546875" customWidth="1"/>
  </cols>
  <sheetData>
    <row r="2" spans="1:19" x14ac:dyDescent="0.25">
      <c r="A2" s="7" t="s">
        <v>0</v>
      </c>
      <c r="B2" s="7" t="s">
        <v>1</v>
      </c>
      <c r="C2" s="6" t="s">
        <v>230</v>
      </c>
      <c r="D2" s="6" t="s">
        <v>231</v>
      </c>
      <c r="E2" s="6" t="s">
        <v>232</v>
      </c>
      <c r="F2" s="6" t="s">
        <v>233</v>
      </c>
      <c r="G2" s="6" t="s">
        <v>234</v>
      </c>
      <c r="H2" s="6" t="s">
        <v>235</v>
      </c>
      <c r="I2" s="6" t="s">
        <v>236</v>
      </c>
      <c r="J2" s="6" t="s">
        <v>237</v>
      </c>
      <c r="K2" s="6" t="s">
        <v>238</v>
      </c>
      <c r="L2" s="6" t="s">
        <v>239</v>
      </c>
      <c r="M2" s="6" t="s">
        <v>241</v>
      </c>
      <c r="N2" s="6" t="s">
        <v>240</v>
      </c>
      <c r="O2" s="6" t="s">
        <v>242</v>
      </c>
      <c r="P2" s="6" t="s">
        <v>302</v>
      </c>
      <c r="Q2" s="6" t="s">
        <v>243</v>
      </c>
      <c r="R2" s="6" t="s">
        <v>244</v>
      </c>
      <c r="S2" s="7" t="s">
        <v>245</v>
      </c>
    </row>
    <row r="3" spans="1:19" x14ac:dyDescent="0.25">
      <c r="A3" s="21">
        <v>1</v>
      </c>
      <c r="B3" s="26" t="s">
        <v>100</v>
      </c>
      <c r="C3" s="22">
        <v>90.142857142857139</v>
      </c>
      <c r="D3" s="22">
        <v>89.857142857142861</v>
      </c>
      <c r="E3" s="22">
        <v>90.142857142857139</v>
      </c>
      <c r="F3" s="22">
        <v>84</v>
      </c>
      <c r="G3" s="22">
        <v>86.5</v>
      </c>
      <c r="H3" s="22">
        <v>91.381428571428572</v>
      </c>
      <c r="I3" s="22">
        <v>87</v>
      </c>
      <c r="J3" s="22">
        <v>78.5</v>
      </c>
      <c r="K3" s="22">
        <v>88</v>
      </c>
      <c r="L3" s="22">
        <v>86</v>
      </c>
      <c r="M3" s="22">
        <v>84.5</v>
      </c>
      <c r="N3" s="22">
        <v>91</v>
      </c>
      <c r="O3" s="22">
        <v>95</v>
      </c>
      <c r="P3" s="22">
        <v>93.375</v>
      </c>
      <c r="Q3" s="22">
        <v>90.333333333333329</v>
      </c>
      <c r="R3" s="22">
        <v>88.382174603174604</v>
      </c>
      <c r="S3" s="26">
        <v>1</v>
      </c>
    </row>
    <row r="4" spans="1:19" x14ac:dyDescent="0.25">
      <c r="A4" s="21">
        <v>2</v>
      </c>
      <c r="B4" s="26" t="s">
        <v>11</v>
      </c>
      <c r="C4" s="22">
        <v>88.428571428571431</v>
      </c>
      <c r="D4" s="22">
        <v>85.437142857142845</v>
      </c>
      <c r="E4" s="22">
        <v>89</v>
      </c>
      <c r="F4" s="22">
        <v>84.666666666666671</v>
      </c>
      <c r="G4" s="22">
        <v>86.5</v>
      </c>
      <c r="H4" s="22">
        <v>92.09571428571428</v>
      </c>
      <c r="I4" s="22">
        <v>85.5</v>
      </c>
      <c r="J4" s="22">
        <v>80</v>
      </c>
      <c r="K4" s="22">
        <v>88.5</v>
      </c>
      <c r="L4" s="22">
        <v>84</v>
      </c>
      <c r="M4" s="22">
        <v>86.5</v>
      </c>
      <c r="N4" s="22">
        <v>90.5</v>
      </c>
      <c r="O4" s="22">
        <v>92</v>
      </c>
      <c r="P4" s="22">
        <v>90</v>
      </c>
      <c r="Q4" s="22">
        <v>90.0625</v>
      </c>
      <c r="R4" s="22">
        <v>87.546039682539686</v>
      </c>
      <c r="S4" s="26">
        <v>2</v>
      </c>
    </row>
    <row r="5" spans="1:19" x14ac:dyDescent="0.25">
      <c r="A5" s="21">
        <v>3</v>
      </c>
      <c r="B5" s="26" t="s">
        <v>145</v>
      </c>
      <c r="C5" s="22">
        <v>88.333333333333329</v>
      </c>
      <c r="D5" s="22">
        <v>84.833333333333329</v>
      </c>
      <c r="E5" s="22">
        <v>88.5</v>
      </c>
      <c r="F5" s="22">
        <v>83</v>
      </c>
      <c r="G5" s="22">
        <v>84</v>
      </c>
      <c r="H5" s="22">
        <v>86.666666666666671</v>
      </c>
      <c r="I5" s="22">
        <v>85</v>
      </c>
      <c r="J5" s="22">
        <v>79</v>
      </c>
      <c r="K5" s="22">
        <v>87.75</v>
      </c>
      <c r="L5" s="22">
        <v>79.5</v>
      </c>
      <c r="M5" s="22">
        <v>85</v>
      </c>
      <c r="N5" s="22">
        <v>87.5</v>
      </c>
      <c r="O5" s="22">
        <v>87.5</v>
      </c>
      <c r="P5" s="22">
        <v>89.625</v>
      </c>
      <c r="Q5" s="22">
        <v>90.541666666666671</v>
      </c>
      <c r="R5" s="22">
        <v>85.783333333333331</v>
      </c>
      <c r="S5" s="26">
        <v>3</v>
      </c>
    </row>
    <row r="6" spans="1:19" x14ac:dyDescent="0.25">
      <c r="A6" s="21">
        <v>4</v>
      </c>
      <c r="B6" s="26" t="s">
        <v>89</v>
      </c>
      <c r="C6" s="22">
        <v>87</v>
      </c>
      <c r="D6" s="22">
        <v>87.142857142857139</v>
      </c>
      <c r="E6" s="22">
        <v>89.428571428571431</v>
      </c>
      <c r="F6" s="22">
        <v>80.857142857142861</v>
      </c>
      <c r="G6" s="22">
        <v>85</v>
      </c>
      <c r="H6" s="22">
        <v>81.47571428571429</v>
      </c>
      <c r="I6" s="22">
        <v>83.5</v>
      </c>
      <c r="J6" s="22">
        <v>77.25</v>
      </c>
      <c r="K6" s="22">
        <v>86</v>
      </c>
      <c r="L6" s="22">
        <v>85.5</v>
      </c>
      <c r="M6" s="22">
        <v>82.5</v>
      </c>
      <c r="N6" s="22">
        <v>90.5</v>
      </c>
      <c r="O6" s="22">
        <v>91</v>
      </c>
      <c r="P6" s="22">
        <v>86.625</v>
      </c>
      <c r="Q6" s="22">
        <v>87.833333333333329</v>
      </c>
      <c r="R6" s="22">
        <v>85.440841269841272</v>
      </c>
      <c r="S6" s="26">
        <v>4</v>
      </c>
    </row>
    <row r="7" spans="1:19" x14ac:dyDescent="0.25">
      <c r="A7" s="21">
        <v>5</v>
      </c>
      <c r="B7" s="26" t="s">
        <v>13</v>
      </c>
      <c r="C7" s="22">
        <v>90.142857142857139</v>
      </c>
      <c r="D7" s="22">
        <v>87.714285714285708</v>
      </c>
      <c r="E7" s="22">
        <v>88.857142857142861</v>
      </c>
      <c r="F7" s="22">
        <v>81.166666666666671</v>
      </c>
      <c r="G7" s="22">
        <v>83.5</v>
      </c>
      <c r="H7" s="22">
        <v>84.47571428571429</v>
      </c>
      <c r="I7" s="22">
        <v>82</v>
      </c>
      <c r="J7" s="22">
        <v>77.75</v>
      </c>
      <c r="K7" s="22">
        <v>87</v>
      </c>
      <c r="L7" s="22">
        <v>81</v>
      </c>
      <c r="M7" s="22">
        <v>82.5</v>
      </c>
      <c r="N7" s="22">
        <v>90.5</v>
      </c>
      <c r="O7" s="22">
        <v>86.5</v>
      </c>
      <c r="P7" s="22">
        <v>87.4</v>
      </c>
      <c r="Q7" s="22">
        <v>90.8125</v>
      </c>
      <c r="R7" s="22">
        <v>85.421277777777775</v>
      </c>
      <c r="S7" s="26">
        <v>5</v>
      </c>
    </row>
    <row r="8" spans="1:19" x14ac:dyDescent="0.25">
      <c r="A8" s="21">
        <v>6</v>
      </c>
      <c r="B8" s="26" t="s">
        <v>103</v>
      </c>
      <c r="C8" s="22">
        <v>87.428571428571431</v>
      </c>
      <c r="D8" s="22">
        <v>85.714285714285708</v>
      </c>
      <c r="E8" s="22">
        <v>85.571428571428569</v>
      </c>
      <c r="F8" s="22">
        <v>79.214285714285708</v>
      </c>
      <c r="G8" s="22">
        <v>82</v>
      </c>
      <c r="H8" s="22">
        <v>82.618571428571428</v>
      </c>
      <c r="I8" s="22">
        <v>85.5</v>
      </c>
      <c r="J8" s="22">
        <v>77.75</v>
      </c>
      <c r="K8" s="22">
        <v>87</v>
      </c>
      <c r="L8" s="22">
        <v>83.5</v>
      </c>
      <c r="M8" s="22">
        <v>81.5</v>
      </c>
      <c r="N8" s="22">
        <v>90</v>
      </c>
      <c r="O8" s="22">
        <v>91</v>
      </c>
      <c r="P8" s="22">
        <v>89.125</v>
      </c>
      <c r="Q8" s="22">
        <v>88.416666666666671</v>
      </c>
      <c r="R8" s="22">
        <v>85.089253968253985</v>
      </c>
      <c r="S8" s="26">
        <v>6</v>
      </c>
    </row>
    <row r="9" spans="1:19" x14ac:dyDescent="0.25">
      <c r="A9" s="21">
        <v>7</v>
      </c>
      <c r="B9" s="26" t="s">
        <v>14</v>
      </c>
      <c r="C9" s="22">
        <v>85.714285714285708</v>
      </c>
      <c r="D9" s="22">
        <v>85</v>
      </c>
      <c r="E9" s="22">
        <v>88.714285714285708</v>
      </c>
      <c r="F9" s="22">
        <v>82.166666666666671</v>
      </c>
      <c r="G9" s="22">
        <v>84.5</v>
      </c>
      <c r="H9" s="22">
        <v>83.238571428571419</v>
      </c>
      <c r="I9" s="22">
        <v>83</v>
      </c>
      <c r="J9" s="22">
        <v>78</v>
      </c>
      <c r="K9" s="22">
        <v>87</v>
      </c>
      <c r="L9" s="22">
        <v>83</v>
      </c>
      <c r="M9" s="22">
        <v>83.5</v>
      </c>
      <c r="N9" s="22">
        <v>86</v>
      </c>
      <c r="O9" s="22">
        <v>86</v>
      </c>
      <c r="P9" s="22">
        <v>87.9</v>
      </c>
      <c r="Q9" s="22">
        <v>86.8125</v>
      </c>
      <c r="R9" s="22">
        <v>84.703087301587317</v>
      </c>
      <c r="S9" s="26">
        <v>7</v>
      </c>
    </row>
    <row r="10" spans="1:19" x14ac:dyDescent="0.25">
      <c r="A10" s="21">
        <v>8</v>
      </c>
      <c r="B10" s="26" t="s">
        <v>17</v>
      </c>
      <c r="C10" s="22">
        <v>86.428571428571431</v>
      </c>
      <c r="D10" s="22">
        <v>85.428571428571431</v>
      </c>
      <c r="E10" s="22">
        <v>87.714285714285708</v>
      </c>
      <c r="F10" s="22">
        <v>77.666666666666671</v>
      </c>
      <c r="G10" s="22">
        <v>81.5</v>
      </c>
      <c r="H10" s="22">
        <v>81.714285714285708</v>
      </c>
      <c r="I10" s="22">
        <v>86.5</v>
      </c>
      <c r="J10" s="22">
        <v>79</v>
      </c>
      <c r="K10" s="22">
        <v>87.5</v>
      </c>
      <c r="L10" s="22">
        <v>82.5</v>
      </c>
      <c r="M10" s="22">
        <v>81</v>
      </c>
      <c r="N10" s="22">
        <v>88.5</v>
      </c>
      <c r="O10" s="22">
        <v>86</v>
      </c>
      <c r="P10" s="22">
        <v>89</v>
      </c>
      <c r="Q10" s="22">
        <v>88.5625</v>
      </c>
      <c r="R10" s="22">
        <v>84.600992063492058</v>
      </c>
      <c r="S10" s="26">
        <v>8</v>
      </c>
    </row>
    <row r="11" spans="1:19" x14ac:dyDescent="0.25">
      <c r="A11" s="21">
        <v>9</v>
      </c>
      <c r="B11" s="26" t="s">
        <v>12</v>
      </c>
      <c r="C11" s="22">
        <v>88.857142857142861</v>
      </c>
      <c r="D11" s="22">
        <v>85.714285714285708</v>
      </c>
      <c r="E11" s="22">
        <v>89</v>
      </c>
      <c r="F11" s="22">
        <v>82.5</v>
      </c>
      <c r="G11" s="22">
        <v>83.5</v>
      </c>
      <c r="H11" s="22">
        <v>83.90428571428572</v>
      </c>
      <c r="I11" s="22">
        <v>85.5</v>
      </c>
      <c r="J11" s="22">
        <v>78.75</v>
      </c>
      <c r="K11" s="22">
        <v>86</v>
      </c>
      <c r="L11" s="22">
        <v>83</v>
      </c>
      <c r="M11" s="22">
        <v>81</v>
      </c>
      <c r="N11" s="22">
        <v>84.5</v>
      </c>
      <c r="O11" s="22">
        <v>81</v>
      </c>
      <c r="P11" s="22">
        <v>85.7</v>
      </c>
      <c r="Q11" s="22">
        <v>89.125</v>
      </c>
      <c r="R11" s="22">
        <v>84.536714285714282</v>
      </c>
      <c r="S11" s="26">
        <v>9</v>
      </c>
    </row>
    <row r="12" spans="1:19" x14ac:dyDescent="0.25">
      <c r="A12" s="21">
        <v>10</v>
      </c>
      <c r="B12" s="26" t="s">
        <v>105</v>
      </c>
      <c r="C12" s="22">
        <v>86.571428571428569</v>
      </c>
      <c r="D12" s="22">
        <v>83</v>
      </c>
      <c r="E12" s="22">
        <v>87.714285714285708</v>
      </c>
      <c r="F12" s="22">
        <v>79.5</v>
      </c>
      <c r="G12" s="22">
        <v>79.5</v>
      </c>
      <c r="H12" s="22">
        <v>84</v>
      </c>
      <c r="I12" s="22">
        <v>91.5</v>
      </c>
      <c r="J12" s="22">
        <v>82.25</v>
      </c>
      <c r="K12" s="22">
        <v>86.5</v>
      </c>
      <c r="L12" s="22">
        <v>86.5</v>
      </c>
      <c r="M12" s="22">
        <v>84</v>
      </c>
      <c r="N12" s="22">
        <v>84</v>
      </c>
      <c r="O12" s="22">
        <v>84</v>
      </c>
      <c r="P12" s="22">
        <v>83.375</v>
      </c>
      <c r="Q12" s="22">
        <v>85.583333333333329</v>
      </c>
      <c r="R12" s="22">
        <v>84.532936507936498</v>
      </c>
      <c r="S12" s="26">
        <v>10</v>
      </c>
    </row>
    <row r="13" spans="1:19" x14ac:dyDescent="0.25">
      <c r="A13" s="21">
        <v>11</v>
      </c>
      <c r="B13" s="26" t="s">
        <v>99</v>
      </c>
      <c r="C13" s="22">
        <v>85.571428571428569</v>
      </c>
      <c r="D13" s="22">
        <v>86</v>
      </c>
      <c r="E13" s="22">
        <v>86.571428571428569</v>
      </c>
      <c r="F13" s="22">
        <v>77.642857142857139</v>
      </c>
      <c r="G13" s="22">
        <v>83.5</v>
      </c>
      <c r="H13" s="22">
        <v>83.809999999999988</v>
      </c>
      <c r="I13" s="22">
        <v>82</v>
      </c>
      <c r="J13" s="22">
        <v>77.75</v>
      </c>
      <c r="K13" s="22">
        <v>85.75</v>
      </c>
      <c r="L13" s="22">
        <v>82</v>
      </c>
      <c r="M13" s="22">
        <v>83.5</v>
      </c>
      <c r="N13" s="22">
        <v>87.5</v>
      </c>
      <c r="O13" s="22">
        <v>86.5</v>
      </c>
      <c r="P13" s="22">
        <v>85.125</v>
      </c>
      <c r="Q13" s="22">
        <v>86.208333333333329</v>
      </c>
      <c r="R13" s="22">
        <v>83.9619365079365</v>
      </c>
      <c r="S13" s="26">
        <v>11</v>
      </c>
    </row>
    <row r="14" spans="1:19" x14ac:dyDescent="0.25">
      <c r="A14" s="21">
        <v>12</v>
      </c>
      <c r="B14" s="26" t="s">
        <v>94</v>
      </c>
      <c r="C14" s="22">
        <v>86</v>
      </c>
      <c r="D14" s="22">
        <v>85.142857142857139</v>
      </c>
      <c r="E14" s="22">
        <v>86.428571428571431</v>
      </c>
      <c r="F14" s="22">
        <v>80.142857142857139</v>
      </c>
      <c r="G14" s="22">
        <v>85</v>
      </c>
      <c r="H14" s="22">
        <v>82.047142857142859</v>
      </c>
      <c r="I14" s="22">
        <v>86</v>
      </c>
      <c r="J14" s="22">
        <v>76.75</v>
      </c>
      <c r="K14" s="22">
        <v>86.25</v>
      </c>
      <c r="L14" s="22">
        <v>83</v>
      </c>
      <c r="M14" s="22">
        <v>82.5</v>
      </c>
      <c r="N14" s="22">
        <v>83</v>
      </c>
      <c r="O14" s="22">
        <v>82</v>
      </c>
      <c r="P14" s="22">
        <v>86.25</v>
      </c>
      <c r="Q14" s="22">
        <v>85.791666666666671</v>
      </c>
      <c r="R14" s="22">
        <v>83.753539682539682</v>
      </c>
      <c r="S14" s="26">
        <v>12</v>
      </c>
    </row>
    <row r="15" spans="1:19" x14ac:dyDescent="0.25">
      <c r="A15" s="21">
        <v>13</v>
      </c>
      <c r="B15" s="26" t="s">
        <v>33</v>
      </c>
      <c r="C15" s="22">
        <v>85.285714285714292</v>
      </c>
      <c r="D15" s="22">
        <v>85.142857142857139</v>
      </c>
      <c r="E15" s="22">
        <v>87.714285714285708</v>
      </c>
      <c r="F15" s="22">
        <v>83.333333333333329</v>
      </c>
      <c r="G15" s="22">
        <v>79.5</v>
      </c>
      <c r="H15" s="22">
        <v>83.618571428571428</v>
      </c>
      <c r="I15" s="22">
        <v>85.5</v>
      </c>
      <c r="J15" s="22">
        <v>81</v>
      </c>
      <c r="K15" s="22">
        <v>85</v>
      </c>
      <c r="L15" s="22">
        <v>82</v>
      </c>
      <c r="M15" s="22">
        <v>82</v>
      </c>
      <c r="N15" s="22">
        <v>83.5</v>
      </c>
      <c r="O15" s="22">
        <v>80</v>
      </c>
      <c r="P15" s="22">
        <v>83.4</v>
      </c>
      <c r="Q15" s="22">
        <v>86.9375</v>
      </c>
      <c r="R15" s="22">
        <v>83.595484126984132</v>
      </c>
      <c r="S15" s="26">
        <v>13</v>
      </c>
    </row>
    <row r="16" spans="1:19" x14ac:dyDescent="0.25">
      <c r="A16" s="21">
        <v>14</v>
      </c>
      <c r="B16" s="26" t="s">
        <v>101</v>
      </c>
      <c r="C16" s="22">
        <v>84.857142857142861</v>
      </c>
      <c r="D16" s="22">
        <v>85.428571428571431</v>
      </c>
      <c r="E16" s="22">
        <v>85.428571428571431</v>
      </c>
      <c r="F16" s="22">
        <v>78.714285714285708</v>
      </c>
      <c r="G16" s="22">
        <v>81.5</v>
      </c>
      <c r="H16" s="22">
        <v>84.285714285714292</v>
      </c>
      <c r="I16" s="22">
        <v>80.5</v>
      </c>
      <c r="J16" s="22">
        <v>77.25</v>
      </c>
      <c r="K16" s="22">
        <v>85</v>
      </c>
      <c r="L16" s="22">
        <v>81</v>
      </c>
      <c r="M16" s="22">
        <v>81</v>
      </c>
      <c r="N16" s="22">
        <v>88</v>
      </c>
      <c r="O16" s="22">
        <v>88.5</v>
      </c>
      <c r="P16" s="22">
        <v>86.5</v>
      </c>
      <c r="Q16" s="22">
        <v>85.5</v>
      </c>
      <c r="R16" s="22">
        <v>83.564285714285717</v>
      </c>
      <c r="S16" s="26">
        <v>14</v>
      </c>
    </row>
    <row r="17" spans="1:19" x14ac:dyDescent="0.25">
      <c r="A17" s="21">
        <v>15</v>
      </c>
      <c r="B17" s="26" t="s">
        <v>93</v>
      </c>
      <c r="C17" s="22">
        <v>86</v>
      </c>
      <c r="D17" s="22">
        <v>83</v>
      </c>
      <c r="E17" s="22">
        <v>86.428571428571431</v>
      </c>
      <c r="F17" s="22">
        <v>79.714285714285708</v>
      </c>
      <c r="G17" s="22">
        <v>84</v>
      </c>
      <c r="H17" s="22">
        <v>83.047142857142859</v>
      </c>
      <c r="I17" s="22">
        <v>82.5</v>
      </c>
      <c r="J17" s="22">
        <v>80.75</v>
      </c>
      <c r="K17" s="22">
        <v>85</v>
      </c>
      <c r="L17" s="22">
        <v>82.5</v>
      </c>
      <c r="M17" s="22">
        <v>82</v>
      </c>
      <c r="N17" s="22">
        <v>84.5</v>
      </c>
      <c r="O17" s="22">
        <v>82.5</v>
      </c>
      <c r="P17" s="22">
        <v>84.625</v>
      </c>
      <c r="Q17" s="22">
        <v>84</v>
      </c>
      <c r="R17" s="22">
        <v>83.371000000000009</v>
      </c>
      <c r="S17" s="26">
        <v>15</v>
      </c>
    </row>
    <row r="18" spans="1:19" x14ac:dyDescent="0.25">
      <c r="A18" s="21">
        <v>16</v>
      </c>
      <c r="B18" s="26" t="s">
        <v>96</v>
      </c>
      <c r="C18" s="22">
        <v>84.714285714285708</v>
      </c>
      <c r="D18" s="22">
        <v>85.714285714285708</v>
      </c>
      <c r="E18" s="22">
        <v>85.142857142857139</v>
      </c>
      <c r="F18" s="22">
        <v>79.357142857142861</v>
      </c>
      <c r="G18" s="22">
        <v>82</v>
      </c>
      <c r="H18" s="22">
        <v>81.761428571428581</v>
      </c>
      <c r="I18" s="22">
        <v>80</v>
      </c>
      <c r="J18" s="22">
        <v>80.75</v>
      </c>
      <c r="K18" s="22">
        <v>86</v>
      </c>
      <c r="L18" s="22">
        <v>81.5</v>
      </c>
      <c r="M18" s="22">
        <v>81</v>
      </c>
      <c r="N18" s="22">
        <v>87.5</v>
      </c>
      <c r="O18" s="22">
        <v>84.5</v>
      </c>
      <c r="P18" s="22">
        <v>84.625</v>
      </c>
      <c r="Q18" s="22">
        <v>85.666666666666671</v>
      </c>
      <c r="R18" s="22">
        <v>83.348777777777784</v>
      </c>
      <c r="S18" s="26">
        <v>16</v>
      </c>
    </row>
    <row r="19" spans="1:19" x14ac:dyDescent="0.25">
      <c r="A19" s="21">
        <v>17</v>
      </c>
      <c r="B19" s="26" t="s">
        <v>29</v>
      </c>
      <c r="C19" s="22">
        <v>84.285714285714292</v>
      </c>
      <c r="D19" s="22">
        <v>85.142857142857139</v>
      </c>
      <c r="E19" s="22">
        <v>84.857142857142861</v>
      </c>
      <c r="F19" s="22">
        <v>81.5</v>
      </c>
      <c r="G19" s="22">
        <v>81</v>
      </c>
      <c r="H19" s="22">
        <v>81.90428571428572</v>
      </c>
      <c r="I19" s="22">
        <v>84.5</v>
      </c>
      <c r="J19" s="22">
        <v>78</v>
      </c>
      <c r="K19" s="22">
        <v>86</v>
      </c>
      <c r="L19" s="22">
        <v>82</v>
      </c>
      <c r="M19" s="22">
        <v>81</v>
      </c>
      <c r="N19" s="22">
        <v>87</v>
      </c>
      <c r="O19" s="22">
        <v>78</v>
      </c>
      <c r="P19" s="22">
        <v>84.3</v>
      </c>
      <c r="Q19" s="22">
        <v>89.375</v>
      </c>
      <c r="R19" s="22">
        <v>83.257666666666665</v>
      </c>
      <c r="S19" s="26">
        <v>17</v>
      </c>
    </row>
    <row r="20" spans="1:19" x14ac:dyDescent="0.25">
      <c r="A20" s="21">
        <v>18</v>
      </c>
      <c r="B20" s="26" t="s">
        <v>31</v>
      </c>
      <c r="C20" s="22">
        <v>86.285714285714292</v>
      </c>
      <c r="D20" s="22">
        <v>80.714285714285708</v>
      </c>
      <c r="E20" s="22">
        <v>87.142857142857139</v>
      </c>
      <c r="F20" s="22">
        <v>81.333333333333329</v>
      </c>
      <c r="G20" s="22">
        <v>82</v>
      </c>
      <c r="H20" s="22">
        <v>81.714285714285708</v>
      </c>
      <c r="I20" s="22">
        <v>86</v>
      </c>
      <c r="J20" s="22">
        <v>78.5</v>
      </c>
      <c r="K20" s="22">
        <v>86.5</v>
      </c>
      <c r="L20" s="22">
        <v>80.5</v>
      </c>
      <c r="M20" s="22">
        <v>82.5</v>
      </c>
      <c r="N20" s="22">
        <v>84</v>
      </c>
      <c r="O20" s="22">
        <v>78.5</v>
      </c>
      <c r="P20" s="22">
        <v>85.2</v>
      </c>
      <c r="Q20" s="22">
        <v>87.625</v>
      </c>
      <c r="R20" s="22">
        <v>83.234365079365077</v>
      </c>
      <c r="S20" s="26">
        <v>18</v>
      </c>
    </row>
    <row r="21" spans="1:19" x14ac:dyDescent="0.25">
      <c r="A21" s="21">
        <v>19</v>
      </c>
      <c r="B21" s="26" t="s">
        <v>32</v>
      </c>
      <c r="C21" s="22">
        <v>87.428571428571431</v>
      </c>
      <c r="D21" s="22">
        <v>85</v>
      </c>
      <c r="E21" s="22">
        <v>87.285714285714292</v>
      </c>
      <c r="F21" s="22">
        <v>77.5</v>
      </c>
      <c r="G21" s="22">
        <v>80.5</v>
      </c>
      <c r="H21" s="22">
        <v>80.142857142857139</v>
      </c>
      <c r="I21" s="22">
        <v>81.5</v>
      </c>
      <c r="J21" s="22">
        <v>77</v>
      </c>
      <c r="K21" s="22">
        <v>86.5</v>
      </c>
      <c r="L21" s="22">
        <v>79</v>
      </c>
      <c r="M21" s="22">
        <v>81.5</v>
      </c>
      <c r="N21" s="22">
        <v>85</v>
      </c>
      <c r="O21" s="22">
        <v>85.5</v>
      </c>
      <c r="P21" s="22">
        <v>84.2</v>
      </c>
      <c r="Q21" s="22">
        <v>88.3125</v>
      </c>
      <c r="R21" s="22">
        <v>83.091309523809528</v>
      </c>
      <c r="S21" s="26">
        <v>19</v>
      </c>
    </row>
    <row r="22" spans="1:19" x14ac:dyDescent="0.25">
      <c r="A22" s="21">
        <v>20</v>
      </c>
      <c r="B22" s="26" t="s">
        <v>98</v>
      </c>
      <c r="C22" s="22">
        <v>84.428571428571431</v>
      </c>
      <c r="D22" s="22">
        <v>82.857142857142861</v>
      </c>
      <c r="E22" s="22">
        <v>85.571428571428569</v>
      </c>
      <c r="F22" s="22">
        <v>80.785714285714292</v>
      </c>
      <c r="G22" s="22">
        <v>84</v>
      </c>
      <c r="H22" s="22">
        <v>80.142857142857139</v>
      </c>
      <c r="I22" s="22">
        <v>83</v>
      </c>
      <c r="J22" s="22">
        <v>77.75</v>
      </c>
      <c r="K22" s="22">
        <v>83.75</v>
      </c>
      <c r="L22" s="22">
        <v>82.5</v>
      </c>
      <c r="M22" s="22">
        <v>81</v>
      </c>
      <c r="N22" s="22">
        <v>87.5</v>
      </c>
      <c r="O22" s="22">
        <v>86</v>
      </c>
      <c r="P22" s="22">
        <v>82.625</v>
      </c>
      <c r="Q22" s="22">
        <v>84.208333333333329</v>
      </c>
      <c r="R22" s="22">
        <v>83.074603174603169</v>
      </c>
      <c r="S22" s="26">
        <v>20</v>
      </c>
    </row>
    <row r="23" spans="1:19" x14ac:dyDescent="0.25">
      <c r="A23" s="21">
        <v>21</v>
      </c>
      <c r="B23" s="26" t="s">
        <v>23</v>
      </c>
      <c r="C23" s="22">
        <v>86.142857142857139</v>
      </c>
      <c r="D23" s="22">
        <v>83.69714285714285</v>
      </c>
      <c r="E23" s="22">
        <v>84.285714285714292</v>
      </c>
      <c r="F23" s="22">
        <v>78.5</v>
      </c>
      <c r="G23" s="22">
        <v>82</v>
      </c>
      <c r="H23" s="22">
        <v>80.332857142857151</v>
      </c>
      <c r="I23" s="22">
        <v>84.5</v>
      </c>
      <c r="J23" s="22">
        <v>77.75</v>
      </c>
      <c r="K23" s="22">
        <v>87</v>
      </c>
      <c r="L23" s="22">
        <v>82</v>
      </c>
      <c r="M23" s="22">
        <v>81</v>
      </c>
      <c r="N23" s="22">
        <v>85</v>
      </c>
      <c r="O23" s="22">
        <v>80</v>
      </c>
      <c r="P23" s="22">
        <v>83.6</v>
      </c>
      <c r="Q23" s="22">
        <v>86.5</v>
      </c>
      <c r="R23" s="22">
        <v>82.820571428571412</v>
      </c>
      <c r="S23" s="26">
        <v>21</v>
      </c>
    </row>
    <row r="24" spans="1:19" x14ac:dyDescent="0.25">
      <c r="A24" s="21">
        <v>22</v>
      </c>
      <c r="B24" s="26" t="s">
        <v>22</v>
      </c>
      <c r="C24" s="22">
        <v>84.857142857142861</v>
      </c>
      <c r="D24" s="22">
        <v>82.714285714285708</v>
      </c>
      <c r="E24" s="22">
        <v>85.857142857142861</v>
      </c>
      <c r="F24" s="22">
        <v>80.833333333333329</v>
      </c>
      <c r="G24" s="22">
        <v>82</v>
      </c>
      <c r="H24" s="22">
        <v>81.47571428571429</v>
      </c>
      <c r="I24" s="22">
        <v>84</v>
      </c>
      <c r="J24" s="22">
        <v>77.5</v>
      </c>
      <c r="K24" s="22">
        <v>86</v>
      </c>
      <c r="L24" s="22">
        <v>80.5</v>
      </c>
      <c r="M24" s="22">
        <v>81</v>
      </c>
      <c r="N24" s="22">
        <v>80.5</v>
      </c>
      <c r="O24" s="22">
        <v>74.5</v>
      </c>
      <c r="P24" s="22">
        <v>82.7</v>
      </c>
      <c r="Q24" s="22">
        <v>85.875</v>
      </c>
      <c r="R24" s="22">
        <v>82.02084126984127</v>
      </c>
      <c r="S24" s="26">
        <v>22</v>
      </c>
    </row>
    <row r="25" spans="1:19" x14ac:dyDescent="0.25">
      <c r="A25" s="21">
        <v>23</v>
      </c>
      <c r="B25" s="26" t="s">
        <v>15</v>
      </c>
      <c r="C25" s="22">
        <v>84.428571428571431</v>
      </c>
      <c r="D25" s="22">
        <v>82.428571428571431</v>
      </c>
      <c r="E25" s="22">
        <v>86.428571428571431</v>
      </c>
      <c r="F25" s="22">
        <v>81.166666666666671</v>
      </c>
      <c r="G25" s="22">
        <v>83.5</v>
      </c>
      <c r="H25" s="22">
        <v>80.714285714285708</v>
      </c>
      <c r="I25" s="22">
        <v>84</v>
      </c>
      <c r="J25" s="22">
        <v>79</v>
      </c>
      <c r="K25" s="22">
        <v>83</v>
      </c>
      <c r="L25" s="22">
        <v>79.5</v>
      </c>
      <c r="M25" s="22">
        <v>78.5</v>
      </c>
      <c r="N25" s="22">
        <v>80.5</v>
      </c>
      <c r="O25" s="22">
        <v>75.5</v>
      </c>
      <c r="P25" s="22">
        <v>82.3</v>
      </c>
      <c r="Q25" s="22">
        <v>86.5</v>
      </c>
      <c r="R25" s="22">
        <v>81.831111111111113</v>
      </c>
      <c r="S25" s="26">
        <v>23</v>
      </c>
    </row>
    <row r="26" spans="1:19" x14ac:dyDescent="0.25">
      <c r="A26" s="21">
        <v>24</v>
      </c>
      <c r="B26" s="26" t="s">
        <v>24</v>
      </c>
      <c r="C26" s="22">
        <v>86.571428571428569</v>
      </c>
      <c r="D26" s="22">
        <v>82.25</v>
      </c>
      <c r="E26" s="22">
        <v>85.714285714285708</v>
      </c>
      <c r="F26" s="22">
        <v>77.833333333333329</v>
      </c>
      <c r="G26" s="22">
        <v>82</v>
      </c>
      <c r="H26" s="22">
        <v>80.190000000000012</v>
      </c>
      <c r="I26" s="22">
        <v>82.5</v>
      </c>
      <c r="J26" s="22">
        <v>80.25</v>
      </c>
      <c r="K26" s="22">
        <v>87.25</v>
      </c>
      <c r="L26" s="22">
        <v>79</v>
      </c>
      <c r="M26" s="22">
        <v>81</v>
      </c>
      <c r="N26" s="22">
        <v>78</v>
      </c>
      <c r="O26" s="22">
        <v>75.5</v>
      </c>
      <c r="P26" s="22">
        <v>82.9</v>
      </c>
      <c r="Q26" s="22">
        <v>85.875</v>
      </c>
      <c r="R26" s="22">
        <v>81.788936507936512</v>
      </c>
      <c r="S26" s="26">
        <v>24</v>
      </c>
    </row>
    <row r="27" spans="1:19" x14ac:dyDescent="0.25">
      <c r="A27" s="21">
        <v>25</v>
      </c>
      <c r="B27" s="26" t="s">
        <v>104</v>
      </c>
      <c r="C27" s="22">
        <v>84</v>
      </c>
      <c r="D27" s="22">
        <v>84</v>
      </c>
      <c r="E27" s="22">
        <v>86</v>
      </c>
      <c r="F27" s="22">
        <v>77.857142857142861</v>
      </c>
      <c r="G27" s="22">
        <v>80.5</v>
      </c>
      <c r="H27" s="22">
        <v>81.047142857142859</v>
      </c>
      <c r="I27" s="22">
        <v>81.5</v>
      </c>
      <c r="J27" s="22">
        <v>77</v>
      </c>
      <c r="K27" s="22">
        <v>86</v>
      </c>
      <c r="L27" s="22">
        <v>80.5</v>
      </c>
      <c r="M27" s="22">
        <v>80.5</v>
      </c>
      <c r="N27" s="22">
        <v>82</v>
      </c>
      <c r="O27" s="22">
        <v>78.5</v>
      </c>
      <c r="P27" s="22">
        <v>81.375</v>
      </c>
      <c r="Q27" s="22">
        <v>85</v>
      </c>
      <c r="R27" s="22">
        <v>81.718619047619057</v>
      </c>
      <c r="S27" s="26">
        <v>25</v>
      </c>
    </row>
    <row r="28" spans="1:19" x14ac:dyDescent="0.25">
      <c r="A28" s="21">
        <v>26</v>
      </c>
      <c r="B28" s="26" t="s">
        <v>18</v>
      </c>
      <c r="C28" s="22">
        <v>82.857142857142861</v>
      </c>
      <c r="D28" s="22">
        <v>83</v>
      </c>
      <c r="E28" s="22">
        <v>85</v>
      </c>
      <c r="F28" s="22">
        <v>77.166666666666671</v>
      </c>
      <c r="G28" s="22">
        <v>81.5</v>
      </c>
      <c r="H28" s="22">
        <v>80</v>
      </c>
      <c r="I28" s="22">
        <v>81</v>
      </c>
      <c r="J28" s="22">
        <v>78</v>
      </c>
      <c r="K28" s="22">
        <v>88</v>
      </c>
      <c r="L28" s="22">
        <v>80.5</v>
      </c>
      <c r="M28" s="22">
        <v>81</v>
      </c>
      <c r="N28" s="22">
        <v>84.5</v>
      </c>
      <c r="O28" s="22">
        <v>75.5</v>
      </c>
      <c r="P28" s="22">
        <v>81</v>
      </c>
      <c r="Q28" s="22">
        <v>85.9375</v>
      </c>
      <c r="R28" s="22">
        <v>81.664087301587315</v>
      </c>
      <c r="S28" s="26">
        <v>26</v>
      </c>
    </row>
    <row r="29" spans="1:19" x14ac:dyDescent="0.25">
      <c r="A29" s="21">
        <v>27</v>
      </c>
      <c r="B29" s="26" t="s">
        <v>97</v>
      </c>
      <c r="C29" s="22">
        <v>87.428571428571431</v>
      </c>
      <c r="D29" s="22">
        <v>85.142857142857139</v>
      </c>
      <c r="E29" s="22">
        <v>86.285714285714292</v>
      </c>
      <c r="F29" s="22">
        <v>78.714285714285708</v>
      </c>
      <c r="G29" s="22">
        <v>82.5</v>
      </c>
      <c r="H29" s="22">
        <v>80.285714285714292</v>
      </c>
      <c r="I29" s="22">
        <v>78</v>
      </c>
      <c r="J29" s="22">
        <v>78.25</v>
      </c>
      <c r="K29" s="22">
        <v>86</v>
      </c>
      <c r="L29" s="22">
        <v>78</v>
      </c>
      <c r="M29" s="22">
        <v>80.5</v>
      </c>
      <c r="N29" s="22">
        <v>79.5</v>
      </c>
      <c r="O29" s="22">
        <v>76.5</v>
      </c>
      <c r="P29" s="22">
        <v>81.25</v>
      </c>
      <c r="Q29" s="22">
        <v>85.083333333333329</v>
      </c>
      <c r="R29" s="22">
        <v>81.56269841269841</v>
      </c>
      <c r="S29" s="26">
        <v>27</v>
      </c>
    </row>
    <row r="30" spans="1:19" x14ac:dyDescent="0.25">
      <c r="A30" s="21">
        <v>28</v>
      </c>
      <c r="B30" s="26" t="s">
        <v>25</v>
      </c>
      <c r="C30" s="22">
        <v>86.857142857142861</v>
      </c>
      <c r="D30" s="22">
        <v>83.857142857142861</v>
      </c>
      <c r="E30" s="22">
        <v>85.714285714285708</v>
      </c>
      <c r="F30" s="22">
        <v>73.666666666666671</v>
      </c>
      <c r="G30" s="22">
        <v>81</v>
      </c>
      <c r="H30" s="22">
        <v>80.190000000000012</v>
      </c>
      <c r="I30" s="22">
        <v>82.5</v>
      </c>
      <c r="J30" s="22">
        <v>77.75</v>
      </c>
      <c r="K30" s="22">
        <v>85</v>
      </c>
      <c r="L30" s="22">
        <v>80.5</v>
      </c>
      <c r="M30" s="22">
        <v>81</v>
      </c>
      <c r="N30" s="22">
        <v>81</v>
      </c>
      <c r="O30" s="22">
        <v>75.5</v>
      </c>
      <c r="P30" s="22">
        <v>81.7</v>
      </c>
      <c r="Q30" s="22">
        <v>85.125</v>
      </c>
      <c r="R30" s="22">
        <v>81.424015873015875</v>
      </c>
      <c r="S30" s="26">
        <v>28</v>
      </c>
    </row>
    <row r="31" spans="1:19" x14ac:dyDescent="0.25">
      <c r="A31" s="21">
        <v>29</v>
      </c>
      <c r="B31" s="26" t="s">
        <v>16</v>
      </c>
      <c r="C31" s="22">
        <v>84.571428571428569</v>
      </c>
      <c r="D31" s="22">
        <v>81.285714285714292</v>
      </c>
      <c r="E31" s="22">
        <v>85.714285714285708</v>
      </c>
      <c r="F31" s="22">
        <v>78.833333333333329</v>
      </c>
      <c r="G31" s="22">
        <v>82.5</v>
      </c>
      <c r="H31" s="22">
        <v>83.761428571428581</v>
      </c>
      <c r="I31" s="22">
        <v>82</v>
      </c>
      <c r="J31" s="22">
        <v>78</v>
      </c>
      <c r="K31" s="22">
        <v>84.5</v>
      </c>
      <c r="L31" s="22">
        <v>77.5</v>
      </c>
      <c r="M31" s="22">
        <v>81</v>
      </c>
      <c r="N31" s="22">
        <v>74.5</v>
      </c>
      <c r="O31" s="22">
        <v>75.5</v>
      </c>
      <c r="P31" s="22">
        <v>83.7</v>
      </c>
      <c r="Q31" s="22">
        <v>85.75</v>
      </c>
      <c r="R31" s="22">
        <v>81.274412698412704</v>
      </c>
      <c r="S31" s="26">
        <v>29</v>
      </c>
    </row>
    <row r="32" spans="1:19" x14ac:dyDescent="0.25">
      <c r="A32" s="21">
        <v>30</v>
      </c>
      <c r="B32" s="26" t="s">
        <v>7</v>
      </c>
      <c r="C32" s="22">
        <v>84</v>
      </c>
      <c r="D32" s="22">
        <v>81.714285714285708</v>
      </c>
      <c r="E32" s="22">
        <v>84.857142857142861</v>
      </c>
      <c r="F32" s="22">
        <v>80.5</v>
      </c>
      <c r="G32" s="22">
        <v>79.5</v>
      </c>
      <c r="H32" s="22">
        <v>79.714285714285708</v>
      </c>
      <c r="I32" s="22">
        <v>82</v>
      </c>
      <c r="J32" s="22">
        <v>76.75</v>
      </c>
      <c r="K32" s="22">
        <v>83</v>
      </c>
      <c r="L32" s="22">
        <v>81</v>
      </c>
      <c r="M32" s="22">
        <v>81.5</v>
      </c>
      <c r="N32" s="22">
        <v>78</v>
      </c>
      <c r="O32" s="22">
        <v>75.5</v>
      </c>
      <c r="P32" s="22">
        <v>82.7</v>
      </c>
      <c r="Q32" s="22">
        <v>86.875</v>
      </c>
      <c r="R32" s="22">
        <v>81.174047619047613</v>
      </c>
      <c r="S32" s="26">
        <v>30</v>
      </c>
    </row>
    <row r="33" spans="1:19" x14ac:dyDescent="0.25">
      <c r="A33" s="21">
        <v>31</v>
      </c>
      <c r="B33" s="26" t="s">
        <v>102</v>
      </c>
      <c r="C33" s="22">
        <v>82</v>
      </c>
      <c r="D33" s="22">
        <v>82.714285714285708</v>
      </c>
      <c r="E33" s="22">
        <v>84.285714285714292</v>
      </c>
      <c r="F33" s="22">
        <v>78.142857142857139</v>
      </c>
      <c r="G33" s="22">
        <v>81</v>
      </c>
      <c r="H33" s="22">
        <v>80.857142857142861</v>
      </c>
      <c r="I33" s="22">
        <v>80.5</v>
      </c>
      <c r="J33" s="22">
        <v>80.5</v>
      </c>
      <c r="K33" s="22">
        <v>85</v>
      </c>
      <c r="L33" s="22">
        <v>78</v>
      </c>
      <c r="M33" s="22">
        <v>81</v>
      </c>
      <c r="N33" s="22">
        <v>81.5</v>
      </c>
      <c r="O33" s="22">
        <v>78</v>
      </c>
      <c r="P33" s="22">
        <v>80.375</v>
      </c>
      <c r="Q33" s="22">
        <v>83.291666666666671</v>
      </c>
      <c r="R33" s="22">
        <v>81.144444444444446</v>
      </c>
      <c r="S33" s="26">
        <v>31</v>
      </c>
    </row>
    <row r="34" spans="1:19" x14ac:dyDescent="0.25">
      <c r="A34" s="21">
        <v>32</v>
      </c>
      <c r="B34" s="26" t="s">
        <v>267</v>
      </c>
      <c r="C34" s="22">
        <v>83.714285714285708</v>
      </c>
      <c r="D34" s="22">
        <v>82</v>
      </c>
      <c r="E34" s="22">
        <v>84.571428571428569</v>
      </c>
      <c r="F34" s="22">
        <v>78.357142857142861</v>
      </c>
      <c r="G34" s="22">
        <v>80.5</v>
      </c>
      <c r="H34" s="22">
        <v>80.285714285714292</v>
      </c>
      <c r="I34" s="22">
        <v>80</v>
      </c>
      <c r="J34" s="22">
        <v>76.75</v>
      </c>
      <c r="K34" s="22">
        <v>85</v>
      </c>
      <c r="L34" s="22">
        <v>77</v>
      </c>
      <c r="M34" s="22">
        <v>80.5</v>
      </c>
      <c r="N34" s="22">
        <v>83.5</v>
      </c>
      <c r="O34" s="22">
        <v>77</v>
      </c>
      <c r="P34" s="22">
        <v>81.75</v>
      </c>
      <c r="Q34" s="22">
        <v>84.25</v>
      </c>
      <c r="R34" s="22">
        <v>81.011904761904759</v>
      </c>
      <c r="S34" s="26">
        <v>32</v>
      </c>
    </row>
    <row r="35" spans="1:19" x14ac:dyDescent="0.25">
      <c r="A35" s="21">
        <v>33</v>
      </c>
      <c r="B35" s="26" t="s">
        <v>161</v>
      </c>
      <c r="C35" s="22">
        <v>84.833333333333329</v>
      </c>
      <c r="D35" s="22">
        <v>81.5</v>
      </c>
      <c r="E35" s="22">
        <v>86.166666666666671</v>
      </c>
      <c r="F35" s="22">
        <v>80.666666666666671</v>
      </c>
      <c r="G35" s="22">
        <v>83</v>
      </c>
      <c r="H35" s="22">
        <v>79.833333333333329</v>
      </c>
      <c r="I35" s="22">
        <v>89</v>
      </c>
      <c r="J35" s="22">
        <v>82.25</v>
      </c>
      <c r="K35" s="22">
        <v>81.5</v>
      </c>
      <c r="L35" s="22">
        <v>75</v>
      </c>
      <c r="M35" s="22">
        <v>80.5</v>
      </c>
      <c r="N35" s="22">
        <v>75</v>
      </c>
      <c r="O35" s="22">
        <v>75</v>
      </c>
      <c r="P35" s="22">
        <v>74.125</v>
      </c>
      <c r="Q35" s="22">
        <v>82.55</v>
      </c>
      <c r="R35" s="22">
        <v>80.728333333333325</v>
      </c>
      <c r="S35" s="26">
        <v>33</v>
      </c>
    </row>
    <row r="36" spans="1:19" x14ac:dyDescent="0.25">
      <c r="A36" s="21">
        <v>34</v>
      </c>
      <c r="B36" s="26" t="s">
        <v>28</v>
      </c>
      <c r="C36" s="22">
        <v>84.714285714285708</v>
      </c>
      <c r="D36" s="22">
        <v>82.714285714285708</v>
      </c>
      <c r="E36" s="22">
        <v>85.428571428571431</v>
      </c>
      <c r="F36" s="22">
        <v>76.5</v>
      </c>
      <c r="G36" s="22">
        <v>81</v>
      </c>
      <c r="H36" s="22">
        <v>79.857142857142861</v>
      </c>
      <c r="I36" s="22">
        <v>80</v>
      </c>
      <c r="J36" s="22">
        <v>77.5</v>
      </c>
      <c r="K36" s="22">
        <v>85</v>
      </c>
      <c r="L36" s="22">
        <v>76.5</v>
      </c>
      <c r="M36" s="22">
        <v>81.5</v>
      </c>
      <c r="N36" s="22">
        <v>76</v>
      </c>
      <c r="O36" s="22">
        <v>75</v>
      </c>
      <c r="P36" s="22">
        <v>81.599999999999994</v>
      </c>
      <c r="Q36" s="22">
        <v>87.375</v>
      </c>
      <c r="R36" s="22">
        <v>80.712619047619043</v>
      </c>
      <c r="S36" s="26">
        <v>34</v>
      </c>
    </row>
    <row r="37" spans="1:19" x14ac:dyDescent="0.25">
      <c r="A37" s="21">
        <v>35</v>
      </c>
      <c r="B37" s="26" t="s">
        <v>159</v>
      </c>
      <c r="C37" s="22">
        <v>82.833333333333329</v>
      </c>
      <c r="D37" s="22">
        <v>80.666666666666671</v>
      </c>
      <c r="E37" s="22">
        <v>86.166666666666671</v>
      </c>
      <c r="F37" s="22">
        <v>78.666666666666671</v>
      </c>
      <c r="G37" s="22">
        <v>79.5</v>
      </c>
      <c r="H37" s="22">
        <v>81.5</v>
      </c>
      <c r="I37" s="22">
        <v>80.5</v>
      </c>
      <c r="J37" s="22">
        <v>78.5</v>
      </c>
      <c r="K37" s="22">
        <v>86.5</v>
      </c>
      <c r="L37" s="22">
        <v>79.5</v>
      </c>
      <c r="M37" s="22">
        <v>81</v>
      </c>
      <c r="N37" s="22">
        <v>74.5</v>
      </c>
      <c r="O37" s="22">
        <v>76</v>
      </c>
      <c r="P37" s="22">
        <v>81.25</v>
      </c>
      <c r="Q37" s="22">
        <v>83.5</v>
      </c>
      <c r="R37" s="22">
        <v>80.705555555555563</v>
      </c>
      <c r="S37" s="26">
        <v>35</v>
      </c>
    </row>
    <row r="38" spans="1:19" x14ac:dyDescent="0.25">
      <c r="A38" s="21">
        <v>36</v>
      </c>
      <c r="B38" s="26" t="s">
        <v>6</v>
      </c>
      <c r="C38" s="22">
        <v>84.142857142857139</v>
      </c>
      <c r="D38" s="22">
        <v>81</v>
      </c>
      <c r="E38" s="22">
        <v>84.571428571428569</v>
      </c>
      <c r="F38" s="22">
        <v>79.142857142857139</v>
      </c>
      <c r="G38" s="22">
        <v>78.5</v>
      </c>
      <c r="H38" s="22">
        <v>78.857142857142861</v>
      </c>
      <c r="I38" s="22">
        <v>82</v>
      </c>
      <c r="J38" s="22">
        <v>76.75</v>
      </c>
      <c r="K38" s="22">
        <v>83</v>
      </c>
      <c r="L38" s="22">
        <v>78.5</v>
      </c>
      <c r="M38" s="22">
        <v>81</v>
      </c>
      <c r="N38" s="22">
        <v>78.5</v>
      </c>
      <c r="O38" s="22">
        <v>75</v>
      </c>
      <c r="P38" s="22">
        <v>82.4</v>
      </c>
      <c r="Q38" s="22">
        <v>87.125</v>
      </c>
      <c r="R38" s="22">
        <v>80.699285714285722</v>
      </c>
      <c r="S38" s="26">
        <v>36</v>
      </c>
    </row>
    <row r="39" spans="1:19" x14ac:dyDescent="0.25">
      <c r="A39" s="21">
        <v>37</v>
      </c>
      <c r="B39" s="26" t="s">
        <v>92</v>
      </c>
      <c r="C39" s="22">
        <v>82.285714285714292</v>
      </c>
      <c r="D39" s="22">
        <v>80.571428571428569</v>
      </c>
      <c r="E39" s="22">
        <v>86.857142857142861</v>
      </c>
      <c r="F39" s="22">
        <v>80.357142857142861</v>
      </c>
      <c r="G39" s="22">
        <v>81.5</v>
      </c>
      <c r="H39" s="22">
        <v>80</v>
      </c>
      <c r="I39" s="22">
        <v>79.5</v>
      </c>
      <c r="J39" s="22">
        <v>76.75</v>
      </c>
      <c r="K39" s="22">
        <v>85</v>
      </c>
      <c r="L39" s="22">
        <v>80</v>
      </c>
      <c r="M39" s="22">
        <v>81.5</v>
      </c>
      <c r="N39" s="22">
        <v>79</v>
      </c>
      <c r="O39" s="22">
        <v>75.5</v>
      </c>
      <c r="P39" s="22">
        <v>78.75</v>
      </c>
      <c r="Q39" s="22">
        <v>81.083333333333329</v>
      </c>
      <c r="R39" s="22">
        <v>80.576984126984115</v>
      </c>
      <c r="S39" s="26">
        <v>37</v>
      </c>
    </row>
    <row r="40" spans="1:19" x14ac:dyDescent="0.25">
      <c r="A40" s="21">
        <v>38</v>
      </c>
      <c r="B40" s="26" t="s">
        <v>19</v>
      </c>
      <c r="C40" s="22">
        <v>83</v>
      </c>
      <c r="D40" s="22">
        <v>80</v>
      </c>
      <c r="E40" s="22">
        <v>84.285714285714292</v>
      </c>
      <c r="F40" s="22">
        <v>77.166666666666671</v>
      </c>
      <c r="G40" s="22">
        <v>79</v>
      </c>
      <c r="H40" s="22">
        <v>79.857142857142861</v>
      </c>
      <c r="I40" s="22">
        <v>80.5</v>
      </c>
      <c r="J40" s="22">
        <v>77</v>
      </c>
      <c r="K40" s="22">
        <v>85.25</v>
      </c>
      <c r="L40" s="22">
        <v>79.5</v>
      </c>
      <c r="M40" s="22">
        <v>81</v>
      </c>
      <c r="N40" s="22">
        <v>77</v>
      </c>
      <c r="O40" s="22">
        <v>74</v>
      </c>
      <c r="P40" s="22">
        <v>79.599999999999994</v>
      </c>
      <c r="Q40" s="22">
        <v>84.375</v>
      </c>
      <c r="R40" s="22">
        <v>80.102301587301582</v>
      </c>
      <c r="S40" s="26">
        <v>38</v>
      </c>
    </row>
    <row r="41" spans="1:19" x14ac:dyDescent="0.25">
      <c r="A41" s="21">
        <v>39</v>
      </c>
      <c r="B41" s="26" t="s">
        <v>90</v>
      </c>
      <c r="C41" s="22">
        <v>80.857142857142861</v>
      </c>
      <c r="D41" s="22">
        <v>81.571428571428569</v>
      </c>
      <c r="E41" s="22">
        <v>86.714285714285708</v>
      </c>
      <c r="F41" s="22">
        <v>75.285714285714292</v>
      </c>
      <c r="G41" s="22">
        <v>76.5</v>
      </c>
      <c r="H41" s="22">
        <v>81.047142857142859</v>
      </c>
      <c r="I41" s="22">
        <v>79.5</v>
      </c>
      <c r="J41" s="22">
        <v>76.5</v>
      </c>
      <c r="K41" s="22">
        <v>75.5</v>
      </c>
      <c r="L41" s="22">
        <v>76</v>
      </c>
      <c r="M41" s="22">
        <v>81</v>
      </c>
      <c r="N41" s="22">
        <v>90.5</v>
      </c>
      <c r="O41" s="22">
        <v>76.5</v>
      </c>
      <c r="P41" s="22">
        <v>82.875</v>
      </c>
      <c r="Q41" s="22">
        <v>80.541666666666671</v>
      </c>
      <c r="R41" s="22">
        <v>80.059492063492073</v>
      </c>
      <c r="S41" s="26">
        <v>39</v>
      </c>
    </row>
    <row r="42" spans="1:19" x14ac:dyDescent="0.25">
      <c r="A42" s="21">
        <v>40</v>
      </c>
      <c r="B42" s="26" t="s">
        <v>20</v>
      </c>
      <c r="C42" s="22">
        <v>82.285714285714292</v>
      </c>
      <c r="D42" s="22">
        <v>80</v>
      </c>
      <c r="E42" s="22">
        <v>83.857142857142861</v>
      </c>
      <c r="F42" s="22">
        <v>79.333333333333329</v>
      </c>
      <c r="G42" s="22">
        <v>81</v>
      </c>
      <c r="H42" s="22">
        <v>79.142857142857139</v>
      </c>
      <c r="I42" s="22">
        <v>80</v>
      </c>
      <c r="J42" s="22">
        <v>77.75</v>
      </c>
      <c r="K42" s="22">
        <v>86.25</v>
      </c>
      <c r="L42" s="22">
        <v>78</v>
      </c>
      <c r="M42" s="22">
        <v>81</v>
      </c>
      <c r="N42" s="22">
        <v>75</v>
      </c>
      <c r="O42" s="22">
        <v>72</v>
      </c>
      <c r="P42" s="22">
        <v>79.2</v>
      </c>
      <c r="Q42" s="22">
        <v>85.1875</v>
      </c>
      <c r="R42" s="22">
        <v>80.000436507936513</v>
      </c>
      <c r="S42" s="26">
        <v>40</v>
      </c>
    </row>
    <row r="43" spans="1:19" x14ac:dyDescent="0.25">
      <c r="A43" s="21">
        <v>41</v>
      </c>
      <c r="B43" s="26" t="s">
        <v>8</v>
      </c>
      <c r="C43" s="22">
        <v>81.714285714285708</v>
      </c>
      <c r="D43" s="22">
        <v>80.428571428571431</v>
      </c>
      <c r="E43" s="22">
        <v>83.142857142857139</v>
      </c>
      <c r="F43" s="22">
        <v>75.666666666666671</v>
      </c>
      <c r="G43" s="22">
        <v>78</v>
      </c>
      <c r="H43" s="22">
        <v>82.90428571428572</v>
      </c>
      <c r="I43" s="22">
        <v>80.5</v>
      </c>
      <c r="J43" s="22">
        <v>76.5</v>
      </c>
      <c r="K43" s="22">
        <v>85</v>
      </c>
      <c r="L43" s="22">
        <v>80</v>
      </c>
      <c r="M43" s="22">
        <v>81.5</v>
      </c>
      <c r="N43" s="22">
        <v>75.5</v>
      </c>
      <c r="O43" s="22">
        <v>73</v>
      </c>
      <c r="P43" s="22">
        <v>79.8</v>
      </c>
      <c r="Q43" s="22">
        <v>85.4375</v>
      </c>
      <c r="R43" s="22">
        <v>79.939611111111105</v>
      </c>
      <c r="S43" s="26">
        <v>41</v>
      </c>
    </row>
    <row r="44" spans="1:19" x14ac:dyDescent="0.25">
      <c r="A44" s="21">
        <v>42</v>
      </c>
      <c r="B44" s="26" t="s">
        <v>30</v>
      </c>
      <c r="C44" s="22">
        <v>81.857142857142861</v>
      </c>
      <c r="D44" s="22">
        <v>80.5</v>
      </c>
      <c r="E44" s="22">
        <v>83.714285714285708</v>
      </c>
      <c r="F44" s="22">
        <v>76.833333333333329</v>
      </c>
      <c r="G44" s="22">
        <v>80.5</v>
      </c>
      <c r="H44" s="22">
        <v>79.571428571428569</v>
      </c>
      <c r="I44" s="22">
        <v>81.5</v>
      </c>
      <c r="J44" s="22">
        <v>77.5</v>
      </c>
      <c r="K44" s="22">
        <v>83</v>
      </c>
      <c r="L44" s="22">
        <v>77</v>
      </c>
      <c r="M44" s="22">
        <v>81</v>
      </c>
      <c r="N44" s="22">
        <v>77</v>
      </c>
      <c r="O44" s="22">
        <v>74</v>
      </c>
      <c r="P44" s="22">
        <v>80.3</v>
      </c>
      <c r="Q44" s="22">
        <v>84.5</v>
      </c>
      <c r="R44" s="22">
        <v>79.918412698412695</v>
      </c>
      <c r="S44" s="26">
        <v>42</v>
      </c>
    </row>
    <row r="45" spans="1:19" x14ac:dyDescent="0.25">
      <c r="A45" s="21">
        <v>43</v>
      </c>
      <c r="B45" s="26" t="s">
        <v>172</v>
      </c>
      <c r="C45" s="22">
        <v>82</v>
      </c>
      <c r="D45" s="22">
        <v>80.142857142857139</v>
      </c>
      <c r="E45" s="22">
        <v>84.428571428571431</v>
      </c>
      <c r="F45" s="22">
        <v>80.285714285714292</v>
      </c>
      <c r="G45" s="22">
        <v>78.5</v>
      </c>
      <c r="H45" s="22">
        <v>81.618571428571428</v>
      </c>
      <c r="I45" s="22">
        <v>77</v>
      </c>
      <c r="J45" s="22">
        <v>76.75</v>
      </c>
      <c r="K45" s="22">
        <v>83.5</v>
      </c>
      <c r="L45" s="22">
        <v>77</v>
      </c>
      <c r="M45" s="22">
        <v>81</v>
      </c>
      <c r="N45" s="22">
        <v>75</v>
      </c>
      <c r="O45" s="22">
        <v>79.5</v>
      </c>
      <c r="P45" s="22">
        <v>78.25</v>
      </c>
      <c r="Q45" s="22">
        <v>82.125</v>
      </c>
      <c r="R45" s="22">
        <v>79.806714285714278</v>
      </c>
      <c r="S45" s="26">
        <v>43</v>
      </c>
    </row>
    <row r="46" spans="1:19" x14ac:dyDescent="0.25">
      <c r="A46" s="21">
        <v>44</v>
      </c>
      <c r="B46" s="26" t="s">
        <v>27</v>
      </c>
      <c r="C46" s="22">
        <v>81.714285714285708</v>
      </c>
      <c r="D46" s="22">
        <v>79.428571428571431</v>
      </c>
      <c r="E46" s="22">
        <v>83.571428571428569</v>
      </c>
      <c r="F46" s="22">
        <v>77.5</v>
      </c>
      <c r="G46" s="22">
        <v>80.5</v>
      </c>
      <c r="H46" s="22">
        <v>78</v>
      </c>
      <c r="I46" s="22">
        <v>80.5</v>
      </c>
      <c r="J46" s="22">
        <v>77.75</v>
      </c>
      <c r="K46" s="22">
        <v>85.5</v>
      </c>
      <c r="L46" s="22">
        <v>78</v>
      </c>
      <c r="M46" s="22">
        <v>81</v>
      </c>
      <c r="N46" s="22">
        <v>76.5</v>
      </c>
      <c r="O46" s="22">
        <v>72.5</v>
      </c>
      <c r="P46" s="22">
        <v>78.7</v>
      </c>
      <c r="Q46" s="22">
        <v>83.875</v>
      </c>
      <c r="R46" s="22">
        <v>79.669285714285721</v>
      </c>
      <c r="S46" s="26">
        <v>44</v>
      </c>
    </row>
    <row r="47" spans="1:19" x14ac:dyDescent="0.25">
      <c r="A47" s="21">
        <v>45</v>
      </c>
      <c r="B47" s="26" t="s">
        <v>21</v>
      </c>
      <c r="C47" s="22">
        <v>81.285714285714292</v>
      </c>
      <c r="D47" s="22">
        <v>79.714285714285708</v>
      </c>
      <c r="E47" s="22">
        <v>83.857142857142861</v>
      </c>
      <c r="F47" s="22">
        <v>79.5</v>
      </c>
      <c r="G47" s="22">
        <v>80.5</v>
      </c>
      <c r="H47" s="22">
        <v>78.571428571428569</v>
      </c>
      <c r="I47" s="22">
        <v>78.5</v>
      </c>
      <c r="J47" s="22">
        <v>77.5</v>
      </c>
      <c r="K47" s="22">
        <v>83.5</v>
      </c>
      <c r="L47" s="22">
        <v>77.5</v>
      </c>
      <c r="M47" s="22">
        <v>80.5</v>
      </c>
      <c r="N47" s="22">
        <v>75</v>
      </c>
      <c r="O47" s="22">
        <v>73.5</v>
      </c>
      <c r="P47" s="22">
        <v>80.099999999999994</v>
      </c>
      <c r="Q47" s="22">
        <v>83.0625</v>
      </c>
      <c r="R47" s="22">
        <v>79.506071428571431</v>
      </c>
      <c r="S47" s="26">
        <v>45</v>
      </c>
    </row>
    <row r="48" spans="1:19" x14ac:dyDescent="0.25">
      <c r="A48" s="21">
        <v>46</v>
      </c>
      <c r="B48" s="26" t="s">
        <v>26</v>
      </c>
      <c r="C48" s="22">
        <v>80.428571428571431</v>
      </c>
      <c r="D48" s="22">
        <v>79.714285714285708</v>
      </c>
      <c r="E48" s="22">
        <v>84</v>
      </c>
      <c r="F48" s="22">
        <v>76</v>
      </c>
      <c r="G48" s="22">
        <v>81.5</v>
      </c>
      <c r="H48" s="22">
        <v>78.857142857142861</v>
      </c>
      <c r="I48" s="22">
        <v>80.5</v>
      </c>
      <c r="J48" s="22">
        <v>77.25</v>
      </c>
      <c r="K48" s="22">
        <v>83.5</v>
      </c>
      <c r="L48" s="22">
        <v>76.5</v>
      </c>
      <c r="M48" s="22">
        <v>81</v>
      </c>
      <c r="N48" s="22">
        <v>72.5</v>
      </c>
      <c r="O48" s="22">
        <v>72.5</v>
      </c>
      <c r="P48" s="22">
        <v>79.8</v>
      </c>
      <c r="Q48" s="22">
        <v>82.1875</v>
      </c>
      <c r="R48" s="22">
        <v>79.082499999999996</v>
      </c>
      <c r="S48" s="26">
        <v>46</v>
      </c>
    </row>
    <row r="49" spans="1:19" x14ac:dyDescent="0.25">
      <c r="A49" s="21">
        <v>47</v>
      </c>
      <c r="B49" s="26" t="s">
        <v>91</v>
      </c>
      <c r="C49" s="22">
        <v>83.571428571428569</v>
      </c>
      <c r="D49" s="22">
        <v>79.857142857142861</v>
      </c>
      <c r="E49" s="22">
        <v>84.285714285714292</v>
      </c>
      <c r="F49" s="22">
        <v>75.142857142857139</v>
      </c>
      <c r="G49" s="22">
        <v>76</v>
      </c>
      <c r="H49" s="22">
        <v>81.714285714285708</v>
      </c>
      <c r="I49" s="22">
        <v>76</v>
      </c>
      <c r="J49" s="22">
        <v>79</v>
      </c>
      <c r="K49" s="22">
        <v>81.75</v>
      </c>
      <c r="L49" s="22">
        <v>79</v>
      </c>
      <c r="M49" s="22">
        <v>80</v>
      </c>
      <c r="N49" s="22">
        <v>74.5</v>
      </c>
      <c r="O49" s="22">
        <v>76</v>
      </c>
      <c r="P49" s="22">
        <v>77.625</v>
      </c>
      <c r="Q49" s="22">
        <v>81.375</v>
      </c>
      <c r="R49" s="22">
        <v>79.054761904761918</v>
      </c>
      <c r="S49" s="26">
        <v>47</v>
      </c>
    </row>
    <row r="50" spans="1:19" x14ac:dyDescent="0.25">
      <c r="A50" s="21">
        <v>48</v>
      </c>
      <c r="B50" s="26" t="s">
        <v>10</v>
      </c>
      <c r="C50" s="22">
        <v>83.285714285714292</v>
      </c>
      <c r="D50" s="22">
        <v>79.142857142857139</v>
      </c>
      <c r="E50" s="22">
        <v>83.285714285714292</v>
      </c>
      <c r="F50" s="22">
        <v>76.333333333333329</v>
      </c>
      <c r="G50" s="22">
        <v>76</v>
      </c>
      <c r="H50" s="22">
        <v>78.142857142857139</v>
      </c>
      <c r="I50" s="22">
        <v>83</v>
      </c>
      <c r="J50" s="22">
        <v>77</v>
      </c>
      <c r="K50" s="22">
        <v>82.5</v>
      </c>
      <c r="L50" s="22">
        <v>77.5</v>
      </c>
      <c r="M50" s="22">
        <v>82</v>
      </c>
      <c r="N50" s="22">
        <v>76.5</v>
      </c>
      <c r="O50" s="22">
        <v>71</v>
      </c>
      <c r="P50" s="22">
        <v>78.8</v>
      </c>
      <c r="Q50" s="22">
        <v>81.3125</v>
      </c>
      <c r="R50" s="22">
        <v>79.053531746031737</v>
      </c>
      <c r="S50" s="26">
        <v>48</v>
      </c>
    </row>
    <row r="51" spans="1:19" x14ac:dyDescent="0.25">
      <c r="A51" s="21">
        <v>49</v>
      </c>
      <c r="B51" s="26" t="s">
        <v>95</v>
      </c>
      <c r="C51" s="22">
        <v>82</v>
      </c>
      <c r="D51" s="22">
        <v>79.714285714285708</v>
      </c>
      <c r="E51" s="22">
        <v>83.428571428571431</v>
      </c>
      <c r="F51" s="22">
        <v>77.714285714285708</v>
      </c>
      <c r="G51" s="22">
        <v>80</v>
      </c>
      <c r="H51" s="22">
        <v>77.857142857142861</v>
      </c>
      <c r="I51" s="22">
        <v>76</v>
      </c>
      <c r="J51" s="22">
        <v>78</v>
      </c>
      <c r="K51" s="22">
        <v>80.25</v>
      </c>
      <c r="L51" s="22">
        <v>77.5</v>
      </c>
      <c r="M51" s="22">
        <v>80.5</v>
      </c>
      <c r="N51" s="22">
        <v>78</v>
      </c>
      <c r="O51" s="22">
        <v>73.5</v>
      </c>
      <c r="P51" s="22">
        <v>76.625</v>
      </c>
      <c r="Q51" s="22">
        <v>79.833333333333329</v>
      </c>
      <c r="R51" s="22">
        <v>78.728174603174608</v>
      </c>
      <c r="S51" s="26">
        <v>49</v>
      </c>
    </row>
    <row r="52" spans="1:19" x14ac:dyDescent="0.25">
      <c r="A52" s="21">
        <v>50</v>
      </c>
      <c r="B52" s="26" t="s">
        <v>146</v>
      </c>
      <c r="C52" s="22">
        <v>81.166666666666671</v>
      </c>
      <c r="D52" s="22">
        <v>78.666666666666671</v>
      </c>
      <c r="E52" s="22">
        <v>83.333333333333329</v>
      </c>
      <c r="F52" s="22">
        <v>74.666666666666671</v>
      </c>
      <c r="G52" s="22">
        <v>79</v>
      </c>
      <c r="H52" s="22">
        <v>79.5</v>
      </c>
      <c r="I52" s="22">
        <v>81.5</v>
      </c>
      <c r="J52" s="22">
        <v>74.5</v>
      </c>
      <c r="K52" s="22">
        <v>83.5</v>
      </c>
      <c r="L52" s="22">
        <v>74</v>
      </c>
      <c r="M52" s="22">
        <v>81</v>
      </c>
      <c r="N52" s="22">
        <v>74.5</v>
      </c>
      <c r="O52" s="22">
        <v>71</v>
      </c>
      <c r="P52" s="22">
        <v>81</v>
      </c>
      <c r="Q52" s="22">
        <v>82.75</v>
      </c>
      <c r="R52" s="22">
        <v>78.672222222222231</v>
      </c>
      <c r="S52" s="26">
        <v>50</v>
      </c>
    </row>
    <row r="53" spans="1:19" x14ac:dyDescent="0.25">
      <c r="A53" s="21">
        <v>51</v>
      </c>
      <c r="B53" s="26" t="s">
        <v>9</v>
      </c>
      <c r="C53" s="22">
        <v>78.142857142857139</v>
      </c>
      <c r="D53" s="22">
        <v>75.142857142857139</v>
      </c>
      <c r="E53" s="22">
        <v>80</v>
      </c>
      <c r="F53" s="22">
        <v>75.333333333333329</v>
      </c>
      <c r="G53" s="22">
        <v>75</v>
      </c>
      <c r="H53" s="22">
        <v>75.381428571428572</v>
      </c>
      <c r="I53" s="22">
        <v>81.5</v>
      </c>
      <c r="J53" s="22">
        <v>75.75</v>
      </c>
      <c r="K53" s="22">
        <v>74.75</v>
      </c>
      <c r="L53" s="22">
        <v>75</v>
      </c>
      <c r="M53" s="22">
        <v>81</v>
      </c>
      <c r="N53" s="22">
        <v>72</v>
      </c>
      <c r="O53" s="22">
        <v>71.5</v>
      </c>
      <c r="P53" s="22">
        <v>78.7</v>
      </c>
      <c r="Q53" s="22">
        <v>78.1875</v>
      </c>
      <c r="R53" s="22">
        <v>76.492531746031744</v>
      </c>
      <c r="S53" s="26">
        <v>51</v>
      </c>
    </row>
    <row r="54" spans="1:19" x14ac:dyDescent="0.25">
      <c r="A54" s="21">
        <v>52</v>
      </c>
      <c r="B54" s="26" t="s">
        <v>147</v>
      </c>
      <c r="C54" s="22">
        <v>76.5</v>
      </c>
      <c r="D54" s="22">
        <v>73.75</v>
      </c>
      <c r="E54" s="22">
        <v>76.666666666666671</v>
      </c>
      <c r="F54" s="22">
        <v>72.333333333333329</v>
      </c>
      <c r="G54" s="22">
        <v>74.5</v>
      </c>
      <c r="H54" s="22">
        <v>73.75</v>
      </c>
      <c r="I54" s="22">
        <v>77</v>
      </c>
      <c r="J54" s="22">
        <v>74</v>
      </c>
      <c r="K54" s="22">
        <v>73.5</v>
      </c>
      <c r="L54" s="22">
        <v>73</v>
      </c>
      <c r="M54" s="22">
        <v>81</v>
      </c>
      <c r="N54" s="22">
        <v>73.5</v>
      </c>
      <c r="O54" s="22">
        <v>71</v>
      </c>
      <c r="P54" s="22">
        <v>81.375</v>
      </c>
      <c r="Q54" s="22">
        <v>74.333333333333329</v>
      </c>
      <c r="R54" s="22">
        <v>75.080555555555549</v>
      </c>
      <c r="S54" s="26">
        <v>52</v>
      </c>
    </row>
    <row r="55" spans="1:19" x14ac:dyDescent="0.25">
      <c r="A55" s="21">
        <v>53</v>
      </c>
      <c r="B55" s="26" t="s">
        <v>148</v>
      </c>
      <c r="C55" s="22">
        <v>77.833333333333329</v>
      </c>
      <c r="D55" s="22">
        <v>73.666666666666671</v>
      </c>
      <c r="E55" s="22">
        <v>78.666666666666671</v>
      </c>
      <c r="F55" s="22">
        <v>72.666666666666671</v>
      </c>
      <c r="G55" s="22">
        <v>73</v>
      </c>
      <c r="H55" s="22">
        <v>74.333333333333329</v>
      </c>
      <c r="I55" s="22">
        <v>75.5</v>
      </c>
      <c r="J55" s="22">
        <v>72</v>
      </c>
      <c r="K55" s="22">
        <v>74.25</v>
      </c>
      <c r="L55" s="22">
        <v>73.5</v>
      </c>
      <c r="M55" s="22">
        <v>75.5</v>
      </c>
      <c r="N55" s="22">
        <v>74.5</v>
      </c>
      <c r="O55" s="22">
        <v>71</v>
      </c>
      <c r="P55" s="22">
        <v>77.625</v>
      </c>
      <c r="Q55" s="22">
        <v>74.416666666666671</v>
      </c>
      <c r="R55" s="22">
        <v>74.563888888888897</v>
      </c>
      <c r="S55" s="26">
        <v>53</v>
      </c>
    </row>
    <row r="56" spans="1:19" x14ac:dyDescent="0.25">
      <c r="A56" s="21">
        <v>54</v>
      </c>
      <c r="B56" s="26" t="s">
        <v>160</v>
      </c>
      <c r="C56" s="22">
        <v>74.666666666666671</v>
      </c>
      <c r="D56" s="22">
        <v>72.5</v>
      </c>
      <c r="E56" s="22">
        <v>76.666666666666671</v>
      </c>
      <c r="F56" s="22">
        <v>72.2</v>
      </c>
      <c r="G56" s="22">
        <v>71</v>
      </c>
      <c r="H56" s="22">
        <v>72.25</v>
      </c>
      <c r="I56" s="22">
        <v>74</v>
      </c>
      <c r="J56" s="22">
        <v>70.5</v>
      </c>
      <c r="K56" s="22">
        <v>73.5</v>
      </c>
      <c r="L56" s="22">
        <v>71.5</v>
      </c>
      <c r="M56" s="22">
        <v>70</v>
      </c>
      <c r="N56" s="22">
        <v>70</v>
      </c>
      <c r="O56" s="22">
        <v>70</v>
      </c>
      <c r="P56" s="22">
        <v>71.375</v>
      </c>
      <c r="Q56" s="22">
        <v>73.650000000000006</v>
      </c>
      <c r="R56" s="22">
        <v>72.253888888888895</v>
      </c>
      <c r="S56" s="26">
        <v>54</v>
      </c>
    </row>
    <row r="57" spans="1:19" x14ac:dyDescent="0.25">
      <c r="A57" s="21">
        <v>55</v>
      </c>
      <c r="B57" s="26" t="s">
        <v>158</v>
      </c>
      <c r="C57" s="22">
        <v>74.5</v>
      </c>
      <c r="D57" s="22">
        <v>72.5</v>
      </c>
      <c r="E57" s="22">
        <v>76.666666666666671</v>
      </c>
      <c r="F57" s="22">
        <v>71.599999999999994</v>
      </c>
      <c r="G57" s="22">
        <v>71</v>
      </c>
      <c r="H57" s="22">
        <v>72.5</v>
      </c>
      <c r="I57" s="22">
        <v>73.5</v>
      </c>
      <c r="J57" s="22">
        <v>70.5</v>
      </c>
      <c r="K57" s="22">
        <v>73.5</v>
      </c>
      <c r="L57" s="22">
        <v>70.5</v>
      </c>
      <c r="M57" s="22">
        <v>70</v>
      </c>
      <c r="N57" s="22">
        <v>70</v>
      </c>
      <c r="O57" s="22">
        <v>70</v>
      </c>
      <c r="P57" s="22">
        <v>71.25</v>
      </c>
      <c r="Q57" s="22">
        <v>73.8</v>
      </c>
      <c r="R57" s="22">
        <v>72.121111111111105</v>
      </c>
      <c r="S57" s="26">
        <v>55</v>
      </c>
    </row>
  </sheetData>
  <pageMargins left="0.31496062992125984" right="0.31496062992125984" top="0.74803149606299213" bottom="0.35433070866141736" header="0" footer="0"/>
  <pageSetup paperSize="5" scale="80" fitToWidth="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Kesehatan SDM Sumedang</dc:creator>
  <cp:lastModifiedBy>Fian Shaibir Rahman</cp:lastModifiedBy>
  <cp:lastPrinted>2025-05-06T06:43:36Z</cp:lastPrinted>
  <dcterms:created xsi:type="dcterms:W3CDTF">2025-04-24T04:12:38Z</dcterms:created>
  <dcterms:modified xsi:type="dcterms:W3CDTF">2026-04-30T06:09:39Z</dcterms:modified>
</cp:coreProperties>
</file>